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与假设" sheetId="1" state="visible" r:id="rId3"/>
    <sheet name="依沃西AK112" sheetId="2" state="visible" r:id="rId4"/>
    <sheet name="卡度尼利AK104" sheetId="3" state="visible" r:id="rId5"/>
    <sheet name="汇总与敏感性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<sst xmlns="http://schemas.openxmlformats.org/spreadsheetml/2006/main" count="140" uniqueCount="95">
  <si>
    <r>
      <rPr>
        <b val="true"/>
        <sz val="15"/>
        <color rgb="FF1F3864"/>
        <rFont val="DejaVu Sans"/>
        <family val="2"/>
      </rPr>
      <t xml:space="preserve">康方生物 </t>
    </r>
    <r>
      <rPr>
        <b val="true"/>
        <sz val="15"/>
        <color rgb="FF1F3864"/>
        <rFont val="Arial"/>
        <family val="0"/>
        <charset val="1"/>
      </rPr>
      <t xml:space="preserve">(9926.HK) — AK112 + AK104 </t>
    </r>
    <r>
      <rPr>
        <b val="true"/>
        <sz val="15"/>
        <color rgb="FF1F3864"/>
        <rFont val="DejaVu Sans"/>
        <family val="2"/>
      </rPr>
      <t xml:space="preserve">中国销售预测模型</t>
    </r>
  </si>
  <si>
    <r>
      <rPr>
        <i val="true"/>
        <sz val="9"/>
        <color rgb="FF595959"/>
        <rFont val="Arial"/>
        <family val="0"/>
        <charset val="1"/>
      </rPr>
      <t xml:space="preserve">Base case</t>
    </r>
    <r>
      <rPr>
        <i val="true"/>
        <sz val="9"/>
        <color rgb="FF595959"/>
        <rFont val="DejaVu Sans"/>
        <family val="2"/>
      </rPr>
      <t xml:space="preserve">｜单位</t>
    </r>
    <r>
      <rPr>
        <i val="true"/>
        <sz val="9"/>
        <color rgb="FF595959"/>
        <rFont val="Arial"/>
        <family val="0"/>
        <charset val="1"/>
      </rPr>
      <t xml:space="preserve">:</t>
    </r>
    <r>
      <rPr>
        <i val="true"/>
        <sz val="9"/>
        <color rgb="FF595959"/>
        <rFont val="DejaVu Sans"/>
        <family val="2"/>
      </rPr>
      <t xml:space="preserve">人民币亿元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除特别注明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DejaVu Sans"/>
        <family val="2"/>
      </rPr>
      <t xml:space="preserve">｜模型为情景分析框架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蓝色单元格为可调输入｜编制日期 </t>
    </r>
    <r>
      <rPr>
        <i val="true"/>
        <sz val="9"/>
        <color rgb="FF595959"/>
        <rFont val="Arial"/>
        <family val="0"/>
        <charset val="1"/>
      </rPr>
      <t xml:space="preserve">2026-06</t>
    </r>
  </si>
  <si>
    <t xml:space="preserve">一、模型范围与方法</t>
  </si>
  <si>
    <t xml:space="preserve">•</t>
  </si>
  <si>
    <r>
      <rPr>
        <sz val="11"/>
        <color theme="1"/>
        <rFont val="DejaVu Sans"/>
        <family val="2"/>
      </rPr>
      <t xml:space="preserve">范围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DejaVu Sans"/>
        <family val="2"/>
      </rPr>
      <t xml:space="preserve">仅测算 </t>
    </r>
    <r>
      <rPr>
        <sz val="11"/>
        <color theme="1"/>
        <rFont val="Calibri"/>
        <family val="2"/>
        <charset val="1"/>
      </rPr>
      <t xml:space="preserve">AK112(</t>
    </r>
    <r>
      <rPr>
        <sz val="11"/>
        <color theme="1"/>
        <rFont val="DejaVu Sans"/>
        <family val="2"/>
      </rPr>
      <t xml:space="preserve">依沃西单抗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与 </t>
    </r>
    <r>
      <rPr>
        <sz val="11"/>
        <color theme="1"/>
        <rFont val="Calibri"/>
        <family val="2"/>
        <charset val="1"/>
      </rPr>
      <t xml:space="preserve">AK104(</t>
    </r>
    <r>
      <rPr>
        <sz val="11"/>
        <color theme="1"/>
        <rFont val="DejaVu Sans"/>
        <family val="2"/>
      </rPr>
      <t xml:space="preserve">卡度尼利单抗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在中国大陆的处方药销售收入</t>
    </r>
    <r>
      <rPr>
        <sz val="11"/>
        <color theme="1"/>
        <rFont val="Calibri"/>
        <family val="2"/>
        <charset val="1"/>
      </rPr>
      <t xml:space="preserve">;</t>
    </r>
    <r>
      <rPr>
        <sz val="11"/>
        <color theme="1"/>
        <rFont val="DejaVu Sans"/>
        <family val="2"/>
      </rPr>
      <t xml:space="preserve">不含海外</t>
    </r>
    <r>
      <rPr>
        <sz val="11"/>
        <color theme="1"/>
        <rFont val="Calibri"/>
        <family val="2"/>
        <charset val="1"/>
      </rPr>
      <t xml:space="preserve">(Summit/</t>
    </r>
    <r>
      <rPr>
        <sz val="11"/>
        <color theme="1"/>
        <rFont val="DejaVu Sans"/>
        <family val="2"/>
      </rPr>
      <t xml:space="preserve">合作方分成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与其他管线产品。</t>
    </r>
  </si>
  <si>
    <r>
      <rPr>
        <sz val="11"/>
        <color theme="1"/>
        <rFont val="DejaVu Sans"/>
        <family val="2"/>
      </rPr>
      <t xml:space="preserve">方法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DejaVu Sans"/>
        <family val="2"/>
      </rPr>
      <t xml:space="preserve">自下而上「可治疗患者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渗透率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人均年实现净收入」分适应症测算</t>
    </r>
    <r>
      <rPr>
        <sz val="11"/>
        <color theme="1"/>
        <rFont val="Calibri"/>
        <family val="2"/>
        <charset val="1"/>
      </rPr>
      <t xml:space="preserve">;2024-2025 </t>
    </r>
    <r>
      <rPr>
        <sz val="11"/>
        <color theme="1"/>
        <rFont val="DejaVu Sans"/>
        <family val="2"/>
      </rPr>
      <t xml:space="preserve">校准至公司已披露口径</t>
    </r>
    <r>
      <rPr>
        <sz val="11"/>
        <color theme="1"/>
        <rFont val="Calibri"/>
        <family val="2"/>
        <charset val="1"/>
      </rPr>
      <t xml:space="preserve">,2026-2030 </t>
    </r>
    <r>
      <rPr>
        <sz val="11"/>
        <color theme="1"/>
        <rFont val="DejaVu Sans"/>
        <family val="2"/>
      </rPr>
      <t xml:space="preserve">为预测。</t>
    </r>
  </si>
  <si>
    <r>
      <rPr>
        <sz val="11"/>
        <color theme="1"/>
        <rFont val="DejaVu Sans"/>
        <family val="2"/>
      </rPr>
      <t xml:space="preserve">口径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DejaVu Sans"/>
        <family val="2"/>
      </rPr>
      <t xml:space="preserve">人均年实现净收入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DejaVu Sans"/>
        <family val="2"/>
      </rPr>
      <t xml:space="preserve">已计入医保后单价、按真实治疗时长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早停折算后的『每位当年治疗患者实际确认收入』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DejaVu Sans"/>
        <family val="2"/>
      </rPr>
      <t xml:space="preserve">故低于满疗程标价。</t>
    </r>
  </si>
  <si>
    <r>
      <rPr>
        <sz val="11"/>
        <color theme="1"/>
        <rFont val="DejaVu Sans"/>
        <family val="2"/>
      </rPr>
      <t xml:space="preserve">渗透率定义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DejaVu Sans"/>
        <family val="2"/>
      </rPr>
      <t xml:space="preserve">当年接受该药治疗的患者占该『适应症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用法』年可治疗患者的比例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含新发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维持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。</t>
    </r>
  </si>
  <si>
    <r>
      <rPr>
        <sz val="11"/>
        <color theme="1"/>
        <rFont val="DejaVu Sans"/>
        <family val="2"/>
      </rPr>
      <t xml:space="preserve">重要提示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DejaVu Sans"/>
        <family val="2"/>
      </rPr>
      <t xml:space="preserve">除公司已公布的合并口径外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DejaVu Sans"/>
        <family val="2"/>
      </rPr>
      <t xml:space="preserve">分产品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分适应症拆分均为分析师估算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DejaVu Sans"/>
        <family val="2"/>
      </rPr>
      <t xml:space="preserve">仅供框架推演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DejaVu Sans"/>
        <family val="2"/>
      </rPr>
      <t xml:space="preserve">不构成投资建议。</t>
    </r>
  </si>
  <si>
    <r>
      <rPr>
        <b val="true"/>
        <sz val="11"/>
        <color rgb="FF1F3864"/>
        <rFont val="DejaVu Sans"/>
        <family val="2"/>
      </rPr>
      <t xml:space="preserve">二、关键锚点数据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公司披露 </t>
    </r>
    <r>
      <rPr>
        <b val="true"/>
        <sz val="11"/>
        <color rgb="FF1F3864"/>
        <rFont val="Arial"/>
        <family val="0"/>
        <charset val="1"/>
      </rPr>
      <t xml:space="preserve">/ </t>
    </r>
    <r>
      <rPr>
        <b val="true"/>
        <sz val="11"/>
        <color rgb="FF1F3864"/>
        <rFont val="DejaVu Sans"/>
        <family val="2"/>
      </rPr>
      <t xml:space="preserve">公开来源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</si>
  <si>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指标</t>
  </si>
  <si>
    <t xml:space="preserve">数值</t>
  </si>
  <si>
    <r>
      <rPr>
        <b val="true"/>
        <sz val="11"/>
        <color rgb="FFFFFFFF"/>
        <rFont val="DejaVu Sans"/>
        <family val="2"/>
      </rPr>
      <t xml:space="preserve">口径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来源</t>
    </r>
  </si>
  <si>
    <r>
      <rPr>
        <sz val="11"/>
        <color rgb="FF000000"/>
        <rFont val="Arial"/>
        <family val="0"/>
        <charset val="1"/>
      </rPr>
      <t xml:space="preserve">2024 </t>
    </r>
    <r>
      <rPr>
        <sz val="11"/>
        <color rgb="FF000000"/>
        <rFont val="DejaVu Sans"/>
        <family val="2"/>
      </rPr>
      <t xml:space="preserve">商业销售收入</t>
    </r>
  </si>
  <si>
    <r>
      <rPr>
        <sz val="11"/>
        <color rgb="FF0000FF"/>
        <rFont val="Arial"/>
        <family val="0"/>
        <charset val="1"/>
      </rPr>
      <t xml:space="preserve">20.44 </t>
    </r>
    <r>
      <rPr>
        <sz val="11"/>
        <color rgb="FF0000FF"/>
        <rFont val="DejaVu Sans"/>
        <family val="2"/>
      </rPr>
      <t xml:space="preserve">亿元</t>
    </r>
  </si>
  <si>
    <r>
      <rPr>
        <i val="true"/>
        <sz val="9"/>
        <color rgb="FF595959"/>
        <rFont val="DejaVu Sans"/>
        <family val="2"/>
      </rPr>
      <t xml:space="preserve">公司年报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同比</t>
    </r>
    <r>
      <rPr>
        <i val="true"/>
        <sz val="9"/>
        <color rgb="FF595959"/>
        <rFont val="Arial"/>
        <family val="0"/>
        <charset val="1"/>
      </rPr>
      <t xml:space="preserve">+25.34%(</t>
    </r>
    <r>
      <rPr>
        <i val="true"/>
        <sz val="9"/>
        <color rgb="FF595959"/>
        <rFont val="DejaVu Sans"/>
        <family val="2"/>
      </rPr>
      <t xml:space="preserve">全部商业化产品合计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</si>
  <si>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2025 </t>
    </r>
    <r>
      <rPr>
        <sz val="11"/>
        <color rgb="FF000000"/>
        <rFont val="DejaVu Sans"/>
        <family val="2"/>
      </rPr>
      <t xml:space="preserve">商业销售收入</t>
    </r>
  </si>
  <si>
    <r>
      <rPr>
        <sz val="11"/>
        <color rgb="FF0000FF"/>
        <rFont val="Arial"/>
        <family val="0"/>
        <charset val="1"/>
      </rPr>
      <t xml:space="preserve">30.33 </t>
    </r>
    <r>
      <rPr>
        <sz val="11"/>
        <color rgb="FF0000FF"/>
        <rFont val="DejaVu Sans"/>
        <family val="2"/>
      </rPr>
      <t xml:space="preserve">亿元</t>
    </r>
  </si>
  <si>
    <r>
      <rPr>
        <i val="true"/>
        <sz val="9"/>
        <color rgb="FF595959"/>
        <rFont val="DejaVu Sans"/>
        <family val="2"/>
      </rPr>
      <t xml:space="preserve">公司</t>
    </r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DejaVu Sans"/>
        <family val="2"/>
      </rPr>
      <t xml:space="preserve">年报</t>
    </r>
    <r>
      <rPr>
        <i val="true"/>
        <sz val="9"/>
        <color rgb="FF595959"/>
        <rFont val="Arial"/>
        <family val="0"/>
        <charset val="1"/>
      </rPr>
      <t xml:space="preserve">(2026-03-26),RMB3,033.1mn,</t>
    </r>
    <r>
      <rPr>
        <i val="true"/>
        <sz val="9"/>
        <color rgb="FF595959"/>
        <rFont val="DejaVu Sans"/>
        <family val="2"/>
      </rPr>
      <t xml:space="preserve">同比</t>
    </r>
    <r>
      <rPr>
        <i val="true"/>
        <sz val="9"/>
        <color rgb="FF595959"/>
        <rFont val="Arial"/>
        <family val="0"/>
        <charset val="1"/>
      </rPr>
      <t xml:space="preserve">+51.48%</t>
    </r>
  </si>
  <si>
    <r>
      <rPr>
        <sz val="11"/>
        <color rgb="FF000000"/>
        <rFont val="Arial"/>
        <family val="0"/>
        <charset val="1"/>
      </rPr>
      <t xml:space="preserve">2025H1 </t>
    </r>
    <r>
      <rPr>
        <sz val="11"/>
        <color rgb="FF000000"/>
        <rFont val="DejaVu Sans"/>
        <family val="2"/>
      </rPr>
      <t xml:space="preserve">商业销售收入</t>
    </r>
  </si>
  <si>
    <r>
      <rPr>
        <sz val="11"/>
        <color rgb="FF0000FF"/>
        <rFont val="Arial"/>
        <family val="0"/>
        <charset val="1"/>
      </rPr>
      <t xml:space="preserve">14.02 </t>
    </r>
    <r>
      <rPr>
        <sz val="11"/>
        <color rgb="FF0000FF"/>
        <rFont val="DejaVu Sans"/>
        <family val="2"/>
      </rPr>
      <t xml:space="preserve">亿元</t>
    </r>
  </si>
  <si>
    <r>
      <rPr>
        <i val="true"/>
        <sz val="9"/>
        <color rgb="FF595959"/>
        <rFont val="DejaVu Sans"/>
        <family val="2"/>
      </rPr>
      <t xml:space="preserve">中期业绩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同比</t>
    </r>
    <r>
      <rPr>
        <i val="true"/>
        <sz val="9"/>
        <color rgb="FF595959"/>
        <rFont val="Arial"/>
        <family val="0"/>
        <charset val="1"/>
      </rPr>
      <t xml:space="preserve">+49.2%</t>
    </r>
  </si>
  <si>
    <r>
      <rPr>
        <sz val="11"/>
        <color rgb="FF000000"/>
        <rFont val="Arial"/>
        <family val="0"/>
        <charset val="1"/>
      </rPr>
      <t xml:space="preserve">2025H1 </t>
    </r>
    <r>
      <rPr>
        <sz val="11"/>
        <color rgb="FF000000"/>
        <rFont val="DejaVu Sans"/>
        <family val="2"/>
      </rPr>
      <t xml:space="preserve">卡度尼利收入</t>
    </r>
  </si>
  <si>
    <r>
      <rPr>
        <sz val="11"/>
        <color rgb="FF0000FF"/>
        <rFont val="Arial"/>
        <family val="0"/>
        <charset val="1"/>
      </rPr>
      <t xml:space="preserve">≈7.06 </t>
    </r>
    <r>
      <rPr>
        <sz val="11"/>
        <color rgb="FF0000FF"/>
        <rFont val="DejaVu Sans"/>
        <family val="2"/>
      </rPr>
      <t xml:space="preserve">亿元</t>
    </r>
  </si>
  <si>
    <r>
      <rPr>
        <i val="true"/>
        <sz val="9"/>
        <color rgb="FF595959"/>
        <rFont val="DejaVu Sans"/>
        <family val="2"/>
      </rPr>
      <t xml:space="preserve">媒体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中报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较</t>
    </r>
    <r>
      <rPr>
        <i val="true"/>
        <sz val="9"/>
        <color rgb="FF595959"/>
        <rFont val="Arial"/>
        <family val="0"/>
        <charset val="1"/>
      </rPr>
      <t xml:space="preserve">2024H1(6.06</t>
    </r>
    <r>
      <rPr>
        <i val="true"/>
        <sz val="9"/>
        <color rgb="FF595959"/>
        <rFont val="DejaVu Sans"/>
        <family val="2"/>
      </rPr>
      <t xml:space="preserve">亿</t>
    </r>
    <r>
      <rPr>
        <i val="true"/>
        <sz val="9"/>
        <color rgb="FF595959"/>
        <rFont val="Arial"/>
        <family val="0"/>
        <charset val="1"/>
      </rPr>
      <t xml:space="preserve">)+16.5%</t>
    </r>
  </si>
  <si>
    <t xml:space="preserve">依沃西医保单价</t>
  </si>
  <si>
    <r>
      <rPr>
        <sz val="11"/>
        <color rgb="FF0000FF"/>
        <rFont val="Arial"/>
        <family val="0"/>
        <charset val="1"/>
      </rPr>
      <t xml:space="preserve">736 </t>
    </r>
    <r>
      <rPr>
        <sz val="11"/>
        <color rgb="FF0000FF"/>
        <rFont val="DejaVu Sans"/>
        <family val="2"/>
      </rPr>
      <t xml:space="preserve">元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DejaVu Sans"/>
        <family val="2"/>
      </rPr>
      <t xml:space="preserve">瓶</t>
    </r>
  </si>
  <si>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DejaVu Sans"/>
        <family val="2"/>
      </rPr>
      <t xml:space="preserve">版医保</t>
    </r>
    <r>
      <rPr>
        <i val="true"/>
        <sz val="9"/>
        <color rgb="FF595959"/>
        <rFont val="Arial"/>
        <family val="0"/>
        <charset val="1"/>
      </rPr>
      <t xml:space="preserve">;</t>
    </r>
    <r>
      <rPr>
        <i val="true"/>
        <sz val="9"/>
        <color rgb="FF595959"/>
        <rFont val="DejaVu Sans"/>
        <family val="2"/>
      </rPr>
      <t xml:space="preserve">约</t>
    </r>
    <r>
      <rPr>
        <i val="true"/>
        <sz val="9"/>
        <color rgb="FF595959"/>
        <rFont val="Arial"/>
        <family val="0"/>
        <charset val="1"/>
      </rPr>
      <t xml:space="preserve">15.9</t>
    </r>
    <r>
      <rPr>
        <i val="true"/>
        <sz val="9"/>
        <color rgb="FF595959"/>
        <rFont val="DejaVu Sans"/>
        <family val="2"/>
      </rPr>
      <t xml:space="preserve">万元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满疗程标价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</si>
  <si>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依沃西累计治疗患者</t>
  </si>
  <si>
    <r>
      <rPr>
        <sz val="11"/>
        <color rgb="FF0000FF"/>
        <rFont val="Arial"/>
        <family val="0"/>
        <charset val="1"/>
      </rPr>
      <t xml:space="preserve">≈70,000 </t>
    </r>
    <r>
      <rPr>
        <sz val="11"/>
        <color rgb="FF0000FF"/>
        <rFont val="DejaVu Sans"/>
        <family val="2"/>
      </rPr>
      <t xml:space="preserve">人</t>
    </r>
  </si>
  <si>
    <r>
      <rPr>
        <i val="true"/>
        <sz val="9"/>
        <color rgb="FF595959"/>
        <rFont val="DejaVu Sans"/>
        <family val="2"/>
      </rPr>
      <t xml:space="preserve">公司</t>
    </r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DejaVu Sans"/>
        <family val="2"/>
      </rPr>
      <t xml:space="preserve">年报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累计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截至</t>
    </r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DejaVu Sans"/>
        <family val="2"/>
      </rPr>
      <t xml:space="preserve">末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</si>
  <si>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卡度尼利累计治疗患者</t>
  </si>
  <si>
    <r>
      <rPr>
        <sz val="11"/>
        <color rgb="FF0000FF"/>
        <rFont val="Arial"/>
        <family val="0"/>
        <charset val="1"/>
      </rPr>
      <t xml:space="preserve">≈120,000 </t>
    </r>
    <r>
      <rPr>
        <sz val="11"/>
        <color rgb="FF0000FF"/>
        <rFont val="DejaVu Sans"/>
        <family val="2"/>
      </rPr>
      <t xml:space="preserve">人</t>
    </r>
  </si>
  <si>
    <r>
      <rPr>
        <i val="true"/>
        <sz val="9"/>
        <color rgb="FF595959"/>
        <rFont val="DejaVu Sans"/>
        <family val="2"/>
      </rPr>
      <t xml:space="preserve">公司</t>
    </r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DejaVu Sans"/>
        <family val="2"/>
      </rPr>
      <t xml:space="preserve">年报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累计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</si>
  <si>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三、颜色图例</t>
  </si>
  <si>
    <t xml:space="preserve">蓝色</t>
  </si>
  <si>
    <r>
      <rPr>
        <sz val="11"/>
        <color rgb="FF000000"/>
        <rFont val="DejaVu Sans"/>
        <family val="2"/>
      </rPr>
      <t xml:space="preserve">硬编码输入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DejaVu Sans"/>
        <family val="2"/>
      </rPr>
      <t xml:space="preserve">情景可调参数</t>
    </r>
  </si>
  <si>
    <t xml:space="preserve">黑色</t>
  </si>
  <si>
    <r>
      <rPr>
        <sz val="11"/>
        <color rgb="FF000000"/>
        <rFont val="DejaVu Sans"/>
        <family val="2"/>
      </rPr>
      <t xml:space="preserve">公式 </t>
    </r>
    <r>
      <rPr>
        <sz val="11"/>
        <color rgb="FF000000"/>
        <rFont val="Arial"/>
        <family val="0"/>
        <charset val="1"/>
      </rPr>
      <t xml:space="preserve">/ </t>
    </r>
    <r>
      <rPr>
        <sz val="11"/>
        <color rgb="FF000000"/>
        <rFont val="DejaVu Sans"/>
        <family val="2"/>
      </rPr>
      <t xml:space="preserve">计算结果</t>
    </r>
  </si>
  <si>
    <t xml:space="preserve">绿色</t>
  </si>
  <si>
    <r>
      <rPr>
        <sz val="11"/>
        <color rgb="FF000000"/>
        <rFont val="DejaVu Sans"/>
        <family val="2"/>
      </rPr>
      <t xml:space="preserve">跨表引用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链接其他工作表</t>
    </r>
    <r>
      <rPr>
        <sz val="11"/>
        <color rgb="FF000000"/>
        <rFont val="Arial"/>
        <family val="0"/>
        <charset val="1"/>
      </rPr>
      <t xml:space="preserve">)</t>
    </r>
  </si>
  <si>
    <r>
      <rPr>
        <i val="true"/>
        <sz val="9"/>
        <color rgb="FF595959"/>
        <rFont val="DejaVu Sans"/>
        <family val="2"/>
      </rPr>
      <t xml:space="preserve">数据截至 </t>
    </r>
    <r>
      <rPr>
        <i val="true"/>
        <sz val="9"/>
        <color rgb="FF595959"/>
        <rFont val="Arial"/>
        <family val="0"/>
        <charset val="1"/>
      </rPr>
      <t xml:space="preserve">2026-06</t>
    </r>
    <r>
      <rPr>
        <i val="true"/>
        <sz val="9"/>
        <color rgb="FF595959"/>
        <rFont val="DejaVu Sans"/>
        <family val="2"/>
      </rPr>
      <t xml:space="preserve">；本模型不构成任何投资建议。</t>
    </r>
  </si>
  <si>
    <r>
      <rPr>
        <b val="true"/>
        <sz val="15"/>
        <color rgb="FF1F3864"/>
        <rFont val="Arial"/>
        <family val="0"/>
        <charset val="1"/>
      </rPr>
      <t xml:space="preserve">AK112 </t>
    </r>
    <r>
      <rPr>
        <b val="true"/>
        <sz val="15"/>
        <color rgb="FF1F3864"/>
        <rFont val="DejaVu Sans"/>
        <family val="2"/>
      </rPr>
      <t xml:space="preserve">依沃西单抗 </t>
    </r>
    <r>
      <rPr>
        <b val="true"/>
        <sz val="15"/>
        <color rgb="FF1F3864"/>
        <rFont val="Arial"/>
        <family val="0"/>
        <charset val="1"/>
      </rPr>
      <t xml:space="preserve">(PD-1/VEGF) — </t>
    </r>
    <r>
      <rPr>
        <b val="true"/>
        <sz val="15"/>
        <color rgb="FF1F3864"/>
        <rFont val="DejaVu Sans"/>
        <family val="2"/>
      </rPr>
      <t xml:space="preserve">中国销售预测</t>
    </r>
  </si>
  <si>
    <r>
      <rPr>
        <i val="true"/>
        <sz val="9"/>
        <color rgb="FF595959"/>
        <rFont val="DejaVu Sans"/>
        <family val="2"/>
      </rPr>
      <t xml:space="preserve">蓝色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DejaVu Sans"/>
        <family val="2"/>
      </rPr>
      <t xml:space="preserve">可调输入；渗透率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DejaVu Sans"/>
        <family val="2"/>
      </rPr>
      <t xml:space="preserve">当年接受治疗患者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该用法年可治疗患者；收入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亿元</t>
    </r>
    <r>
      <rPr>
        <i val="true"/>
        <sz val="9"/>
        <color rgb="FF595959"/>
        <rFont val="Arial"/>
        <family val="0"/>
        <charset val="1"/>
      </rPr>
      <t xml:space="preserve">)=</t>
    </r>
    <r>
      <rPr>
        <i val="true"/>
        <sz val="9"/>
        <color rgb="FF595959"/>
        <rFont val="DejaVu Sans"/>
        <family val="2"/>
      </rPr>
      <t xml:space="preserve">可治疗患者</t>
    </r>
    <r>
      <rPr>
        <i val="true"/>
        <sz val="9"/>
        <color rgb="FF595959"/>
        <rFont val="Arial"/>
        <family val="0"/>
        <charset val="1"/>
      </rPr>
      <t xml:space="preserve">×(1+</t>
    </r>
    <r>
      <rPr>
        <i val="true"/>
        <sz val="9"/>
        <color rgb="FF595959"/>
        <rFont val="DejaVu Sans"/>
        <family val="2"/>
      </rPr>
      <t xml:space="preserve">增速</t>
    </r>
    <r>
      <rPr>
        <i val="true"/>
        <sz val="9"/>
        <color rgb="FF595959"/>
        <rFont val="Arial"/>
        <family val="0"/>
        <charset val="1"/>
      </rPr>
      <t xml:space="preserve">)^t×</t>
    </r>
    <r>
      <rPr>
        <i val="true"/>
        <sz val="9"/>
        <color rgb="FF595959"/>
        <rFont val="DejaVu Sans"/>
        <family val="2"/>
      </rPr>
      <t xml:space="preserve">渗透率</t>
    </r>
    <r>
      <rPr>
        <i val="true"/>
        <sz val="9"/>
        <color rgb="FF595959"/>
        <rFont val="Arial"/>
        <family val="0"/>
        <charset val="1"/>
      </rPr>
      <t xml:space="preserve">×</t>
    </r>
    <r>
      <rPr>
        <i val="true"/>
        <sz val="9"/>
        <color rgb="FF595959"/>
        <rFont val="DejaVu Sans"/>
        <family val="2"/>
      </rPr>
      <t xml:space="preserve">人均年净收入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万元</t>
    </r>
    <r>
      <rPr>
        <i val="true"/>
        <sz val="9"/>
        <color rgb="FF595959"/>
        <rFont val="Arial"/>
        <family val="0"/>
        <charset val="1"/>
      </rPr>
      <t xml:space="preserve">)/10000</t>
    </r>
  </si>
  <si>
    <t xml:space="preserve">一、关键假设</t>
  </si>
  <si>
    <r>
      <rPr>
        <b val="true"/>
        <sz val="11"/>
        <color rgb="FFFFFFFF"/>
        <rFont val="DejaVu Sans"/>
        <family val="2"/>
      </rPr>
      <t xml:space="preserve">适应症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用法</t>
    </r>
  </si>
  <si>
    <r>
      <rPr>
        <b val="true"/>
        <sz val="11"/>
        <color rgb="FFFFFFFF"/>
        <rFont val="DejaVu Sans"/>
        <family val="2"/>
      </rPr>
      <t xml:space="preserve">中国年可治疗
患者</t>
    </r>
    <r>
      <rPr>
        <b val="true"/>
        <sz val="11"/>
        <color rgb="FFFFFFFF"/>
        <rFont val="Arial"/>
        <family val="0"/>
        <charset val="1"/>
      </rPr>
      <t xml:space="preserve">(2024,</t>
    </r>
    <r>
      <rPr>
        <b val="true"/>
        <sz val="11"/>
        <color rgb="FFFFFFFF"/>
        <rFont val="DejaVu Sans"/>
        <family val="2"/>
      </rPr>
      <t xml:space="preserve">人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</si>
  <si>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市场
年增速</t>
  </si>
  <si>
    <r>
      <rPr>
        <b val="true"/>
        <sz val="11"/>
        <color rgb="FFFFFFFF"/>
        <rFont val="DejaVu Sans"/>
        <family val="2"/>
      </rPr>
      <t xml:space="preserve">人均年净
收入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万元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</si>
  <si>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2024E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</si>
  <si>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2025E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</si>
  <si>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2026E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</si>
  <si>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2027E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</si>
  <si>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2028E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</si>
  <si>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2029E</t>
    </r>
  </si>
  <si>
    <r>
      <rPr>
        <b val="true"/>
        <sz val="11"/>
        <color rgb="FFFFFFFF"/>
        <rFont val="DejaVu Sans"/>
        <family val="2"/>
      </rPr>
      <t xml:space="preserve">渗透率
</t>
    </r>
    <r>
      <rPr>
        <b val="true"/>
        <sz val="11"/>
        <color rgb="FFFFFFFF"/>
        <rFont val="Arial"/>
        <family val="0"/>
        <charset val="1"/>
      </rPr>
      <t xml:space="preserve">2030E</t>
    </r>
  </si>
  <si>
    <r>
      <rPr>
        <sz val="11"/>
        <color rgb="FF000000"/>
        <rFont val="Arial"/>
        <family val="0"/>
        <charset val="1"/>
      </rPr>
      <t xml:space="preserve">2L+ EGFRm NSCLC (HARMONi-A,+</t>
    </r>
    <r>
      <rPr>
        <sz val="11"/>
        <color rgb="FF000000"/>
        <rFont val="DejaVu Sans"/>
        <family val="2"/>
      </rPr>
      <t xml:space="preserve">化疗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</si>
  <si>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1L PD-L1+ NSCLC </t>
    </r>
    <r>
      <rPr>
        <sz val="11"/>
        <color rgb="FF000000"/>
        <rFont val="DejaVu Sans"/>
        <family val="2"/>
      </rPr>
      <t xml:space="preserve">单药 </t>
    </r>
    <r>
      <rPr>
        <sz val="11"/>
        <color rgb="FF000000"/>
        <rFont val="Arial"/>
        <family val="0"/>
        <charset val="1"/>
      </rPr>
      <t xml:space="preserve">(HARMONi-2)</t>
    </r>
  </si>
  <si>
    <r>
      <rPr>
        <sz val="11"/>
        <color rgb="FF000000"/>
        <rFont val="Arial"/>
        <family val="0"/>
        <charset val="1"/>
      </rPr>
      <t xml:space="preserve">1L </t>
    </r>
    <r>
      <rPr>
        <sz val="11"/>
        <color rgb="FF000000"/>
        <rFont val="DejaVu Sans"/>
        <family val="2"/>
      </rPr>
      <t xml:space="preserve">鳞状 </t>
    </r>
    <r>
      <rPr>
        <sz val="11"/>
        <color rgb="FF000000"/>
        <rFont val="Arial"/>
        <family val="0"/>
        <charset val="1"/>
      </rPr>
      <t xml:space="preserve">NSCLC (+</t>
    </r>
    <r>
      <rPr>
        <sz val="11"/>
        <color rgb="FF000000"/>
        <rFont val="DejaVu Sans"/>
        <family val="2"/>
      </rPr>
      <t xml:space="preserve">化疗</t>
    </r>
    <r>
      <rPr>
        <sz val="11"/>
        <color rgb="FF000000"/>
        <rFont val="Arial"/>
        <family val="0"/>
        <charset val="1"/>
      </rPr>
      <t xml:space="preserve">, HARMONi-6)</t>
    </r>
  </si>
  <si>
    <r>
      <rPr>
        <sz val="11"/>
        <color rgb="FF000000"/>
        <rFont val="Arial"/>
        <family val="0"/>
        <charset val="1"/>
      </rPr>
      <t xml:space="preserve">1L </t>
    </r>
    <r>
      <rPr>
        <sz val="11"/>
        <color rgb="FF000000"/>
        <rFont val="DejaVu Sans"/>
        <family val="2"/>
      </rPr>
      <t xml:space="preserve">非鳞 </t>
    </r>
    <r>
      <rPr>
        <sz val="11"/>
        <color rgb="FF000000"/>
        <rFont val="Arial"/>
        <family val="0"/>
        <charset val="1"/>
      </rPr>
      <t xml:space="preserve">NSCLC (+</t>
    </r>
    <r>
      <rPr>
        <sz val="11"/>
        <color rgb="FF000000"/>
        <rFont val="DejaVu Sans"/>
        <family val="2"/>
      </rPr>
      <t xml:space="preserve">化疗</t>
    </r>
    <r>
      <rPr>
        <sz val="11"/>
        <color rgb="FF000000"/>
        <rFont val="Arial"/>
        <family val="0"/>
        <charset val="1"/>
      </rPr>
      <t xml:space="preserve">, HARMONi-3/5)</t>
    </r>
  </si>
  <si>
    <r>
      <rPr>
        <sz val="11"/>
        <color rgb="FF000000"/>
        <rFont val="DejaVu Sans"/>
        <family val="2"/>
      </rPr>
      <t xml:space="preserve">其他实体瘤 </t>
    </r>
    <r>
      <rPr>
        <sz val="11"/>
        <color rgb="FF000000"/>
        <rFont val="Arial"/>
        <family val="0"/>
        <charset val="1"/>
      </rPr>
      <t xml:space="preserve">(CRC/BTC/HCC </t>
    </r>
    <r>
      <rPr>
        <sz val="11"/>
        <color rgb="FF000000"/>
        <rFont val="DejaVu Sans"/>
        <family val="2"/>
      </rPr>
      <t xml:space="preserve">等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DejaVu Sans"/>
        <family val="2"/>
      </rPr>
      <t xml:space="preserve">期权</t>
    </r>
    <r>
      <rPr>
        <sz val="11"/>
        <color rgb="FF000000"/>
        <rFont val="Arial"/>
        <family val="0"/>
        <charset val="1"/>
      </rPr>
      <t xml:space="preserve">)</t>
    </r>
  </si>
  <si>
    <t xml:space="preserve">二、收入预测</t>
  </si>
  <si>
    <r>
      <rPr>
        <b val="true"/>
        <sz val="11"/>
        <color rgb="FFFFFFFF"/>
        <rFont val="DejaVu Sans"/>
        <family val="2"/>
      </rPr>
      <t xml:space="preserve">适应症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用法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收入</t>
    </r>
    <r>
      <rPr>
        <b val="true"/>
        <sz val="11"/>
        <color rgb="FFFFFFFF"/>
        <rFont val="Arial"/>
        <family val="0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亿元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</si>
  <si>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2024E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</si>
  <si>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</si>
  <si>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</si>
  <si>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</si>
  <si>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</si>
  <si>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</si>
  <si>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</si>
  <si>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r>
      <rPr>
        <b val="true"/>
        <sz val="11"/>
        <rFont val="DejaVu Sans"/>
        <family val="2"/>
      </rPr>
      <t xml:space="preserve">合计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亿元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</si>
  <si>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595959"/>
        <rFont val="DejaVu Sans"/>
        <family val="2"/>
      </rPr>
      <t xml:space="preserve">估算当年治疗患者数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人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</si>
  <si>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2025E→2030E </t>
    </r>
    <r>
      <rPr>
        <b val="true"/>
        <sz val="11"/>
        <rFont val="DejaVu Sans"/>
        <family val="2"/>
      </rPr>
      <t xml:space="preserve">收入 </t>
    </r>
    <r>
      <rPr>
        <b val="true"/>
        <sz val="11"/>
        <rFont val="Arial"/>
        <family val="0"/>
        <charset val="1"/>
      </rPr>
      <t xml:space="preserve">CAGR</t>
    </r>
  </si>
  <si>
    <r>
      <rPr>
        <b val="true"/>
        <sz val="15"/>
        <color rgb="FF1F3864"/>
        <rFont val="Arial"/>
        <family val="0"/>
        <charset val="1"/>
      </rPr>
      <t xml:space="preserve">AK104 </t>
    </r>
    <r>
      <rPr>
        <b val="true"/>
        <sz val="15"/>
        <color rgb="FF1F3864"/>
        <rFont val="DejaVu Sans"/>
        <family val="2"/>
      </rPr>
      <t xml:space="preserve">卡度尼利单抗 </t>
    </r>
    <r>
      <rPr>
        <b val="true"/>
        <sz val="15"/>
        <color rgb="FF1F3864"/>
        <rFont val="Arial"/>
        <family val="0"/>
        <charset val="1"/>
      </rPr>
      <t xml:space="preserve">(PD-1/CTLA-4) — </t>
    </r>
    <r>
      <rPr>
        <b val="true"/>
        <sz val="15"/>
        <color rgb="FF1F3864"/>
        <rFont val="DejaVu Sans"/>
        <family val="2"/>
      </rPr>
      <t xml:space="preserve">中国销售预测</t>
    </r>
  </si>
  <si>
    <r>
      <rPr>
        <sz val="11"/>
        <color rgb="FF000000"/>
        <rFont val="Arial"/>
        <family val="0"/>
        <charset val="1"/>
      </rPr>
      <t xml:space="preserve">1L </t>
    </r>
    <r>
      <rPr>
        <sz val="11"/>
        <color rgb="FF000000"/>
        <rFont val="DejaVu Sans"/>
        <family val="2"/>
      </rPr>
      <t xml:space="preserve">宫颈癌 </t>
    </r>
    <r>
      <rPr>
        <sz val="11"/>
        <color rgb="FF000000"/>
        <rFont val="Arial"/>
        <family val="0"/>
        <charset val="1"/>
      </rPr>
      <t xml:space="preserve">(+</t>
    </r>
    <r>
      <rPr>
        <sz val="11"/>
        <color rgb="FF000000"/>
        <rFont val="DejaVu Sans"/>
        <family val="2"/>
      </rPr>
      <t xml:space="preserve">化疗</t>
    </r>
    <r>
      <rPr>
        <sz val="11"/>
        <color rgb="FF000000"/>
        <rFont val="Arial"/>
        <family val="0"/>
        <charset val="1"/>
      </rPr>
      <t xml:space="preserve">±</t>
    </r>
    <r>
      <rPr>
        <sz val="11"/>
        <color rgb="FF000000"/>
        <rFont val="DejaVu Sans"/>
        <family val="2"/>
      </rPr>
      <t xml:space="preserve">贝伐</t>
    </r>
    <r>
      <rPr>
        <sz val="11"/>
        <color rgb="FF000000"/>
        <rFont val="Arial"/>
        <family val="0"/>
        <charset val="1"/>
      </rPr>
      <t xml:space="preserve">, COMPASSION-16)</t>
    </r>
  </si>
  <si>
    <r>
      <rPr>
        <sz val="11"/>
        <color rgb="FF000000"/>
        <rFont val="Arial"/>
        <family val="0"/>
        <charset val="1"/>
      </rPr>
      <t xml:space="preserve">2L+ </t>
    </r>
    <r>
      <rPr>
        <sz val="11"/>
        <color rgb="FF000000"/>
        <rFont val="DejaVu Sans"/>
        <family val="2"/>
      </rPr>
      <t xml:space="preserve">宫颈癌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DejaVu Sans"/>
        <family val="2"/>
      </rPr>
      <t xml:space="preserve">单药</t>
    </r>
    <r>
      <rPr>
        <sz val="11"/>
        <color rgb="FF000000"/>
        <rFont val="Arial"/>
        <family val="0"/>
        <charset val="1"/>
      </rPr>
      <t xml:space="preserve">, COMPASSION-03)</t>
    </r>
  </si>
  <si>
    <r>
      <rPr>
        <sz val="11"/>
        <color rgb="FF000000"/>
        <rFont val="Arial"/>
        <family val="0"/>
        <charset val="1"/>
      </rPr>
      <t xml:space="preserve">1L </t>
    </r>
    <r>
      <rPr>
        <sz val="11"/>
        <color rgb="FF000000"/>
        <rFont val="DejaVu Sans"/>
        <family val="2"/>
      </rPr>
      <t xml:space="preserve">胃</t>
    </r>
    <r>
      <rPr>
        <sz val="11"/>
        <color rgb="FF000000"/>
        <rFont val="Arial"/>
        <family val="0"/>
        <charset val="1"/>
      </rPr>
      <t xml:space="preserve">/GEJ </t>
    </r>
    <r>
      <rPr>
        <sz val="11"/>
        <color rgb="FF000000"/>
        <rFont val="DejaVu Sans"/>
        <family val="2"/>
      </rPr>
      <t xml:space="preserve">腺癌 </t>
    </r>
    <r>
      <rPr>
        <sz val="11"/>
        <color rgb="FF000000"/>
        <rFont val="Arial"/>
        <family val="0"/>
        <charset val="1"/>
      </rPr>
      <t xml:space="preserve">(+</t>
    </r>
    <r>
      <rPr>
        <sz val="11"/>
        <color rgb="FF000000"/>
        <rFont val="DejaVu Sans"/>
        <family val="2"/>
      </rPr>
      <t xml:space="preserve">化疗</t>
    </r>
    <r>
      <rPr>
        <sz val="11"/>
        <color rgb="FF000000"/>
        <rFont val="Arial"/>
        <family val="0"/>
        <charset val="1"/>
      </rPr>
      <t xml:space="preserve">, COMPASSION-15)</t>
    </r>
  </si>
  <si>
    <r>
      <rPr>
        <sz val="11"/>
        <color rgb="FF000000"/>
        <rFont val="DejaVu Sans"/>
        <family val="2"/>
      </rPr>
      <t xml:space="preserve">其他 </t>
    </r>
    <r>
      <rPr>
        <sz val="11"/>
        <color rgb="FF000000"/>
        <rFont val="Arial"/>
        <family val="0"/>
        <charset val="1"/>
      </rPr>
      <t xml:space="preserve">(HCC/</t>
    </r>
    <r>
      <rPr>
        <sz val="11"/>
        <color rgb="FF000000"/>
        <rFont val="DejaVu Sans"/>
        <family val="2"/>
      </rPr>
      <t xml:space="preserve">肺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DejaVu Sans"/>
        <family val="2"/>
      </rPr>
      <t xml:space="preserve">肝胆等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DejaVu Sans"/>
        <family val="2"/>
      </rPr>
      <t xml:space="preserve">期权</t>
    </r>
    <r>
      <rPr>
        <sz val="11"/>
        <color rgb="FF000000"/>
        <rFont val="Arial"/>
        <family val="0"/>
        <charset val="1"/>
      </rPr>
      <t xml:space="preserve">)</t>
    </r>
  </si>
  <si>
    <r>
      <rPr>
        <b val="true"/>
        <sz val="15"/>
        <color rgb="FF1F3864"/>
        <rFont val="DejaVu Sans"/>
        <family val="2"/>
      </rPr>
      <t xml:space="preserve">汇总：</t>
    </r>
    <r>
      <rPr>
        <b val="true"/>
        <sz val="15"/>
        <color rgb="FF1F3864"/>
        <rFont val="Arial"/>
        <family val="0"/>
        <charset val="1"/>
      </rPr>
      <t xml:space="preserve">AK112 + AK104 </t>
    </r>
    <r>
      <rPr>
        <b val="true"/>
        <sz val="15"/>
        <color rgb="FF1F3864"/>
        <rFont val="DejaVu Sans"/>
        <family val="2"/>
      </rPr>
      <t xml:space="preserve">中国销售预测 与 敏感性分析</t>
    </r>
  </si>
  <si>
    <r>
      <rPr>
        <i val="true"/>
        <sz val="9"/>
        <color rgb="FF595959"/>
        <rFont val="DejaVu Sans"/>
        <family val="2"/>
      </rPr>
      <t xml:space="preserve">单位：人民币亿元；绿色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DejaVu Sans"/>
        <family val="2"/>
      </rPr>
      <t xml:space="preserve">跨表引用各产品合计</t>
    </r>
  </si>
  <si>
    <r>
      <rPr>
        <b val="true"/>
        <sz val="11"/>
        <color rgb="FF1F3864"/>
        <rFont val="DejaVu Sans"/>
        <family val="2"/>
      </rPr>
      <t xml:space="preserve">一、分产品收入预测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亿元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</si>
  <si>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产品</t>
  </si>
  <si>
    <r>
      <rPr>
        <sz val="11"/>
        <color rgb="FF000000"/>
        <rFont val="Arial"/>
        <family val="0"/>
        <charset val="1"/>
      </rPr>
      <t xml:space="preserve">AK112 </t>
    </r>
    <r>
      <rPr>
        <sz val="11"/>
        <color rgb="FF000000"/>
        <rFont val="DejaVu Sans"/>
        <family val="2"/>
      </rPr>
      <t xml:space="preserve">依沃西单抗</t>
    </r>
  </si>
  <si>
    <r>
      <rPr>
        <sz val="11"/>
        <color rgb="FF000000"/>
        <rFont val="Arial"/>
        <family val="0"/>
        <charset val="1"/>
      </rPr>
      <t xml:space="preserve">AK104 </t>
    </r>
    <r>
      <rPr>
        <sz val="11"/>
        <color rgb="FF000000"/>
        <rFont val="DejaVu Sans"/>
        <family val="2"/>
      </rPr>
      <t xml:space="preserve">卡度尼利单抗</t>
    </r>
  </si>
  <si>
    <t xml:space="preserve">两大双抗合计</t>
  </si>
  <si>
    <t xml:space="preserve">同比增速</t>
  </si>
  <si>
    <t xml:space="preserve">n/a</t>
  </si>
  <si>
    <r>
      <rPr>
        <b val="true"/>
        <sz val="11"/>
        <rFont val="DejaVu Sans"/>
        <family val="2"/>
      </rPr>
      <t xml:space="preserve">备忘：公司合并商业销售收入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全部产品</t>
    </r>
    <r>
      <rPr>
        <b val="true"/>
        <sz val="11"/>
        <rFont val="Arial"/>
        <family val="0"/>
        <charset val="1"/>
      </rPr>
      <t xml:space="preserve">,</t>
    </r>
    <r>
      <rPr>
        <b val="true"/>
        <sz val="11"/>
        <rFont val="DejaVu Sans"/>
        <family val="2"/>
      </rPr>
      <t xml:space="preserve">公司披露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</si>
  <si>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  2024A = 20.44 </t>
    </r>
    <r>
      <rPr>
        <sz val="11"/>
        <color rgb="FF0000FF"/>
        <rFont val="DejaVu Sans"/>
        <family val="2"/>
      </rPr>
      <t xml:space="preserve">亿元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DejaVu Sans"/>
        <family val="2"/>
      </rPr>
      <t xml:space="preserve">实际</t>
    </r>
    <r>
      <rPr>
        <sz val="11"/>
        <color rgb="FF0000FF"/>
        <rFont val="Arial"/>
        <family val="0"/>
        <charset val="1"/>
      </rPr>
      <t xml:space="preserve">)</t>
    </r>
  </si>
  <si>
    <r>
      <rPr>
        <i val="true"/>
        <sz val="9"/>
        <color rgb="FF595959"/>
        <rFont val="DejaVu Sans"/>
        <family val="2"/>
      </rPr>
      <t xml:space="preserve">↑ 含其他</t>
    </r>
    <r>
      <rPr>
        <i val="true"/>
        <sz val="9"/>
        <color rgb="FF595959"/>
        <rFont val="Arial"/>
        <family val="0"/>
        <charset val="1"/>
      </rPr>
      <t xml:space="preserve">5</t>
    </r>
    <r>
      <rPr>
        <i val="true"/>
        <sz val="9"/>
        <color rgb="FF595959"/>
        <rFont val="DejaVu Sans"/>
        <family val="2"/>
      </rPr>
      <t xml:space="preserve">款商业化产品；本模型仅测算两大双抗</t>
    </r>
  </si>
  <si>
    <r>
      <rPr>
        <sz val="11"/>
        <color rgb="FF0000FF"/>
        <rFont val="Arial"/>
        <family val="0"/>
        <charset val="1"/>
      </rPr>
      <t xml:space="preserve">  2025A = 30.33 </t>
    </r>
    <r>
      <rPr>
        <sz val="11"/>
        <color rgb="FF0000FF"/>
        <rFont val="DejaVu Sans"/>
        <family val="2"/>
      </rPr>
      <t xml:space="preserve">亿元</t>
    </r>
    <r>
      <rPr>
        <sz val="11"/>
        <color rgb="FF0000FF"/>
        <rFont val="Arial"/>
        <family val="0"/>
        <charset val="1"/>
      </rPr>
      <t xml:space="preserve">(</t>
    </r>
    <r>
      <rPr>
        <sz val="11"/>
        <color rgb="FF0000FF"/>
        <rFont val="DejaVu Sans"/>
        <family val="2"/>
      </rPr>
      <t xml:space="preserve">实际</t>
    </r>
    <r>
      <rPr>
        <sz val="11"/>
        <color rgb="FF0000FF"/>
        <rFont val="Arial"/>
        <family val="0"/>
        <charset val="1"/>
      </rPr>
      <t xml:space="preserve">)</t>
    </r>
  </si>
  <si>
    <r>
      <rPr>
        <b val="true"/>
        <sz val="11"/>
        <color rgb="FF1F3864"/>
        <rFont val="DejaVu Sans"/>
        <family val="2"/>
      </rPr>
      <t xml:space="preserve">二、敏感性分析 — </t>
    </r>
    <r>
      <rPr>
        <b val="true"/>
        <sz val="11"/>
        <color rgb="FF1F3864"/>
        <rFont val="Arial"/>
        <family val="0"/>
        <charset val="1"/>
      </rPr>
      <t xml:space="preserve">2030E </t>
    </r>
    <r>
      <rPr>
        <b val="true"/>
        <sz val="11"/>
        <color rgb="FF1F3864"/>
        <rFont val="DejaVu Sans"/>
        <family val="2"/>
      </rPr>
      <t xml:space="preserve">两大双抗合计收入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DejaVu Sans"/>
        <family val="2"/>
      </rPr>
      <t xml:space="preserve">亿元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</si>
  <si>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DejaVu Sans"/>
        <family val="2"/>
      </rPr>
      <t xml:space="preserve">行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DejaVu Sans"/>
        <family val="2"/>
      </rPr>
      <t xml:space="preserve">渗透率乘数；列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DejaVu Sans"/>
        <family val="2"/>
      </rPr>
      <t xml:space="preserve">净价乘数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相对</t>
    </r>
    <r>
      <rPr>
        <i val="true"/>
        <sz val="9"/>
        <color rgb="FF595959"/>
        <rFont val="Arial"/>
        <family val="0"/>
        <charset val="1"/>
      </rPr>
      <t xml:space="preserve">Base)</t>
    </r>
    <r>
      <rPr>
        <i val="true"/>
        <sz val="9"/>
        <color rgb="FF595959"/>
        <rFont val="DejaVu Sans"/>
        <family val="2"/>
      </rPr>
      <t xml:space="preserve">。</t>
    </r>
    <r>
      <rPr>
        <i val="true"/>
        <sz val="9"/>
        <color rgb="FF595959"/>
        <rFont val="Arial"/>
        <family val="0"/>
        <charset val="1"/>
      </rPr>
      <t xml:space="preserve">Base(</t>
    </r>
    <r>
      <rPr>
        <i val="true"/>
        <sz val="9"/>
        <color rgb="FF595959"/>
        <rFont val="DejaVu Sans"/>
        <family val="2"/>
      </rPr>
      <t xml:space="preserve">乘数</t>
    </r>
    <r>
      <rPr>
        <i val="true"/>
        <sz val="9"/>
        <color rgb="FF595959"/>
        <rFont val="Arial"/>
        <family val="0"/>
        <charset val="1"/>
      </rPr>
      <t xml:space="preserve">1.0)=K8</t>
    </r>
    <r>
      <rPr>
        <i val="true"/>
        <sz val="9"/>
        <color rgb="FF595959"/>
        <rFont val="DejaVu Sans"/>
        <family val="2"/>
      </rPr>
      <t xml:space="preserve">。收入对两者均为线性。</t>
    </r>
  </si>
  <si>
    <t xml:space="preserve">净价乘数→</t>
  </si>
  <si>
    <t xml:space="preserve">渗透率乘数↓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</si>
</sst>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#,##0.0;\(#,##0.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DejaVu Sans"/>
      <family val="2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DejaVu Sans"/>
      <family val="2"/>
    </font>
    <font>
      <b val="true"/>
      <sz val="11"/>
      <color rgb="FF1F3864"/>
      <name val="DejaVu Sans"/>
      <family val="2"/>
    </font>
    <font>
      <sz val="11"/>
      <color theme="1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DejaVu Sans"/>
      <family val="2"/>
    </font>
    <font>
      <sz val="11"/>
      <color rgb="FF0000FF"/>
      <name val="Arial"/>
      <family val="0"/>
      <charset val="1"/>
    </font>
    <font>
      <sz val="11"/>
      <color rgb="FF0000FF"/>
      <name val="DejaVu Sans"/>
      <family val="2"/>
    </font>
    <font>
      <sz val="11"/>
      <color rgb="FF008000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DejaVu Sans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1F4E79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AK112 + AK104 中国收入预测 (亿元)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"AK112 依沃西"</c:f>
              <c:strCache>
                <c:ptCount val="1"/>
                <c:pt idx="0">
                  <c:v>AK112 依沃西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汇总与敏感性!$E$5:$K$5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2025E</c:v>
                  </c:pt>
                </c:lvl>
                <c:lvl>
                  <c:pt idx="0">
                    <c:v>2024E</c:v>
                  </c:pt>
                </c:lvl>
              </c:multiLvlStrCache>
            </c:multiLvlStrRef>
          </c:cat>
          <c:val>
            <c:numRef>
              <c:f>汇总与敏感性!$E$6:$K$6</c:f>
              <c:numCache>
                <c:formatCode>#,##0.0;\(#,##0.0\);\-</c:formatCode>
                <c:ptCount val="7"/>
                <c:pt idx="0">
                  <c:v>3.36</c:v>
                </c:pt>
                <c:pt idx="1">
                  <c:v>12.19005</c:v>
                </c:pt>
                <c:pt idx="2">
                  <c:v>33.131907</c:v>
                </c:pt>
                <c:pt idx="3">
                  <c:v>61.81877664</c:v>
                </c:pt>
                <c:pt idx="4">
                  <c:v>89.0758990233</c:v>
                </c:pt>
                <c:pt idx="5">
                  <c:v>111.250269030036</c:v>
                </c:pt>
                <c:pt idx="6">
                  <c:v>134.658603562368</c:v>
                </c:pt>
              </c:numCache>
            </c:numRef>
          </c:val>
        </c:ser>
        <c:ser>
          <c:idx val="1"/>
          <c:order val="1"/>
          <c:tx>
            <c:strRef>
              <c:f>"AK104 卡度尼利"</c:f>
              <c:strCache>
                <c:ptCount val="1"/>
                <c:pt idx="0">
                  <c:v>AK104 卡度尼利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汇总与敏感性!$E$5:$K$5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2025E</c:v>
                  </c:pt>
                </c:lvl>
                <c:lvl>
                  <c:pt idx="0">
                    <c:v>2024E</c:v>
                  </c:pt>
                </c:lvl>
              </c:multiLvlStrCache>
            </c:multiLvlStrRef>
          </c:cat>
          <c:val>
            <c:numRef>
              <c:f>汇总与敏感性!$E$7:$K$7</c:f>
              <c:numCache>
                <c:formatCode>#,##0.0;\(#,##0.0\);\-</c:formatCode>
                <c:ptCount val="7"/>
                <c:pt idx="0">
                  <c:v>8.2</c:v>
                </c:pt>
                <c:pt idx="1">
                  <c:v>15.4485</c:v>
                </c:pt>
                <c:pt idx="2">
                  <c:v>25.341909</c:v>
                </c:pt>
                <c:pt idx="3">
                  <c:v>36.46843231</c:v>
                </c:pt>
                <c:pt idx="4">
                  <c:v>46.0669376935</c:v>
                </c:pt>
                <c:pt idx="5">
                  <c:v>54.020746522131</c:v>
                </c:pt>
                <c:pt idx="6">
                  <c:v>61.6434741387117</c:v>
                </c:pt>
              </c:numCache>
            </c:numRef>
          </c:val>
        </c:ser>
        <c:gapWidth val="150"/>
        <c:overlap val="100"/>
        <c:axId val="89164341"/>
        <c:axId val="77747975"/>
      </c:barChart>
      <c:catAx>
        <c:axId val="891643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747975"/>
        <c:crosses val="autoZero"/>
        <c:auto val="1"/>
        <c:lblAlgn val="ctr"/>
        <c:lblOffset val="100"/>
        <c:noMultiLvlLbl val="0"/>
      </c:catAx>
      <c:valAx>
        <c:axId val="777479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亿元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643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8</xdr:col>
      <xdr:colOff>149400</xdr:colOff>
      <xdr:row>41</xdr:row>
      <xdr:rowOff>11520</xdr:rowOff>
    </xdr:to>
    <xdr:graphicFrame>
      <xdr:nvGraphicFramePr>
        <xdr:cNvPr id="1" name="Chart 1"/>
        <xdr:cNvGraphicFramePr/>
      </xdr:nvGraphicFramePr>
      <xdr:xfrm>
        <a:off x="0" y="49078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60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</row>
    <row r="6" customFormat="false" ht="30" hidden="false" customHeight="true" outlineLevel="0" collapsed="false">
      <c r="A6" s="4" t="s">
        <v>3</v>
      </c>
      <c r="B6" s="5" t="s">
        <v>5</v>
      </c>
      <c r="C6" s="5"/>
      <c r="D6" s="5"/>
      <c r="E6" s="5"/>
      <c r="F6" s="5"/>
      <c r="G6" s="5"/>
    </row>
    <row r="7" customFormat="false" ht="30" hidden="false" customHeight="true" outlineLevel="0" collapsed="false">
      <c r="A7" s="4" t="s">
        <v>3</v>
      </c>
      <c r="B7" s="5" t="s">
        <v>6</v>
      </c>
      <c r="C7" s="5"/>
      <c r="D7" s="5"/>
      <c r="E7" s="5"/>
      <c r="F7" s="5"/>
      <c r="G7" s="5"/>
    </row>
    <row r="8" customFormat="false" ht="30" hidden="false" customHeight="true" outlineLevel="0" collapsed="false">
      <c r="A8" s="4" t="s">
        <v>3</v>
      </c>
      <c r="B8" s="5" t="s">
        <v>7</v>
      </c>
      <c r="C8" s="5"/>
      <c r="D8" s="5"/>
      <c r="E8" s="5"/>
      <c r="F8" s="5"/>
      <c r="G8" s="5"/>
    </row>
    <row r="9" customFormat="false" ht="30" hidden="false" customHeight="true" outlineLevel="0" collapsed="false">
      <c r="A9" s="4" t="s">
        <v>3</v>
      </c>
      <c r="B9" s="5" t="s">
        <v>8</v>
      </c>
      <c r="C9" s="5"/>
      <c r="D9" s="5"/>
      <c r="E9" s="5"/>
      <c r="F9" s="5"/>
      <c r="G9" s="5"/>
    </row>
    <row r="11" customFormat="false" ht="14.9" hidden="false" customHeight="false" outlineLevel="0" collapsed="false">
      <c r="A11" s="3" t="s">
        <v>9</v>
      </c>
      <c r="B11" s="3"/>
      <c r="C11" s="3"/>
      <c r="D11" s="3"/>
      <c r="E11" s="3"/>
      <c r="F11" s="3"/>
      <c r="G11" s="3"/>
    </row>
    <row r="12" customFormat="false" ht="15" hidden="false" customHeight="true" outlineLevel="0" collapsed="false">
      <c r="A12" s="6" t="s">
        <v>10</v>
      </c>
      <c r="B12" s="6" t="s">
        <v>11</v>
      </c>
      <c r="C12" s="7" t="s">
        <v>12</v>
      </c>
      <c r="D12" s="7"/>
      <c r="E12" s="7"/>
      <c r="F12" s="7"/>
      <c r="G12" s="7"/>
    </row>
    <row r="13" customFormat="false" ht="15" hidden="false" customHeight="true" outlineLevel="0" collapsed="false">
      <c r="A13" s="8" t="s">
        <v>13</v>
      </c>
      <c r="B13" s="9" t="s">
        <v>14</v>
      </c>
      <c r="C13" s="10" t="s">
        <v>15</v>
      </c>
      <c r="D13" s="10"/>
      <c r="E13" s="10"/>
      <c r="F13" s="10"/>
      <c r="G13" s="10"/>
    </row>
    <row r="14" customFormat="false" ht="15" hidden="false" customHeight="true" outlineLevel="0" collapsed="false">
      <c r="A14" s="8" t="s">
        <v>16</v>
      </c>
      <c r="B14" s="9" t="s">
        <v>17</v>
      </c>
      <c r="C14" s="10" t="s">
        <v>18</v>
      </c>
      <c r="D14" s="10"/>
      <c r="E14" s="10"/>
      <c r="F14" s="10"/>
      <c r="G14" s="10"/>
    </row>
    <row r="15" customFormat="false" ht="15" hidden="false" customHeight="true" outlineLevel="0" collapsed="false">
      <c r="A15" s="8" t="s">
        <v>19</v>
      </c>
      <c r="B15" s="9" t="s">
        <v>20</v>
      </c>
      <c r="C15" s="10" t="s">
        <v>21</v>
      </c>
      <c r="D15" s="10"/>
      <c r="E15" s="10"/>
      <c r="F15" s="10"/>
      <c r="G15" s="10"/>
    </row>
    <row r="16" customFormat="false" ht="15" hidden="false" customHeight="true" outlineLevel="0" collapsed="false">
      <c r="A16" s="8" t="s">
        <v>22</v>
      </c>
      <c r="B16" s="9" t="s">
        <v>23</v>
      </c>
      <c r="C16" s="10" t="s">
        <v>24</v>
      </c>
      <c r="D16" s="10"/>
      <c r="E16" s="10"/>
      <c r="F16" s="10"/>
      <c r="G16" s="10"/>
    </row>
    <row r="17" customFormat="false" ht="15" hidden="false" customHeight="true" outlineLevel="0" collapsed="false">
      <c r="A17" s="11" t="s">
        <v>25</v>
      </c>
      <c r="B17" s="9" t="s">
        <v>26</v>
      </c>
      <c r="C17" s="12" t="s">
        <v>27</v>
      </c>
      <c r="D17" s="12"/>
      <c r="E17" s="12"/>
      <c r="F17" s="12"/>
      <c r="G17" s="12"/>
    </row>
    <row r="18" customFormat="false" ht="15" hidden="false" customHeight="true" outlineLevel="0" collapsed="false">
      <c r="A18" s="11" t="s">
        <v>28</v>
      </c>
      <c r="B18" s="9" t="s">
        <v>29</v>
      </c>
      <c r="C18" s="10" t="s">
        <v>30</v>
      </c>
      <c r="D18" s="10"/>
      <c r="E18" s="10"/>
      <c r="F18" s="10"/>
      <c r="G18" s="10"/>
    </row>
    <row r="19" customFormat="false" ht="15" hidden="false" customHeight="true" outlineLevel="0" collapsed="false">
      <c r="A19" s="11" t="s">
        <v>31</v>
      </c>
      <c r="B19" s="9" t="s">
        <v>32</v>
      </c>
      <c r="C19" s="10" t="s">
        <v>33</v>
      </c>
      <c r="D19" s="10"/>
      <c r="E19" s="10"/>
      <c r="F19" s="10"/>
      <c r="G19" s="10"/>
    </row>
    <row r="21" customFormat="false" ht="15" hidden="false" customHeight="false" outlineLevel="0" collapsed="false">
      <c r="A21" s="3" t="s">
        <v>34</v>
      </c>
      <c r="B21" s="3"/>
      <c r="C21" s="3"/>
      <c r="D21" s="3"/>
      <c r="E21" s="3"/>
      <c r="F21" s="3"/>
      <c r="G21" s="3"/>
    </row>
    <row r="22" customFormat="false" ht="15" hidden="false" customHeight="true" outlineLevel="0" collapsed="false">
      <c r="A22" s="13" t="s">
        <v>35</v>
      </c>
      <c r="B22" s="14" t="s">
        <v>36</v>
      </c>
      <c r="C22" s="14"/>
      <c r="D22" s="14"/>
      <c r="E22" s="14"/>
      <c r="F22" s="14"/>
      <c r="G22" s="14"/>
    </row>
    <row r="23" customFormat="false" ht="15" hidden="false" customHeight="true" outlineLevel="0" collapsed="false">
      <c r="A23" s="15" t="s">
        <v>37</v>
      </c>
      <c r="B23" s="14" t="s">
        <v>38</v>
      </c>
      <c r="C23" s="14"/>
      <c r="D23" s="14"/>
      <c r="E23" s="14"/>
      <c r="F23" s="14"/>
      <c r="G23" s="14"/>
    </row>
    <row r="24" customFormat="false" ht="15" hidden="false" customHeight="true" outlineLevel="0" collapsed="false">
      <c r="A24" s="16" t="s">
        <v>39</v>
      </c>
      <c r="B24" s="14" t="s">
        <v>40</v>
      </c>
      <c r="C24" s="14"/>
      <c r="D24" s="14"/>
      <c r="E24" s="14"/>
      <c r="F24" s="14"/>
      <c r="G24" s="14"/>
    </row>
    <row r="26" customFormat="false" ht="11.9" hidden="false" customHeight="false" outlineLevel="0" collapsed="false">
      <c r="A26" s="17" t="s">
        <v>41</v>
      </c>
      <c r="B26" s="17"/>
      <c r="C26" s="17"/>
      <c r="D26" s="17"/>
      <c r="E26" s="17"/>
      <c r="F26" s="17"/>
      <c r="G26" s="17"/>
    </row>
  </sheetData>
  <mergeCells count="22">
    <mergeCell ref="A1:G1"/>
    <mergeCell ref="A2:G2"/>
    <mergeCell ref="A4:G4"/>
    <mergeCell ref="B5:G5"/>
    <mergeCell ref="B6:G6"/>
    <mergeCell ref="B7:G7"/>
    <mergeCell ref="B8:G8"/>
    <mergeCell ref="B9:G9"/>
    <mergeCell ref="A11:G11"/>
    <mergeCell ref="C12:G12"/>
    <mergeCell ref="C13:G13"/>
    <mergeCell ref="C14:G14"/>
    <mergeCell ref="C15:G15"/>
    <mergeCell ref="C16:G16"/>
    <mergeCell ref="C17:G17"/>
    <mergeCell ref="C18:G18"/>
    <mergeCell ref="C19:G19"/>
    <mergeCell ref="A21:G21"/>
    <mergeCell ref="B22:G22"/>
    <mergeCell ref="B23:G23"/>
    <mergeCell ref="B24:G2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11" min="5" style="0" width="11"/>
  </cols>
  <sheetData>
    <row r="1" customFormat="false" ht="19.4" hidden="false" customHeight="false" outlineLevel="0" collapsed="false">
      <c r="A1" s="18" t="s">
        <v>42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1.9" hidden="false" customHeight="false" outlineLevel="0" collapsed="false">
      <c r="A2" s="17" t="s">
        <v>43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false" outlineLevel="0" collapsed="false">
      <c r="A4" s="3" t="s">
        <v>44</v>
      </c>
      <c r="B4" s="3"/>
      <c r="C4" s="3"/>
      <c r="D4" s="3"/>
      <c r="E4" s="3"/>
      <c r="F4" s="3"/>
      <c r="G4" s="3"/>
      <c r="H4" s="19"/>
      <c r="I4" s="19"/>
      <c r="J4" s="19"/>
      <c r="K4" s="19"/>
    </row>
    <row r="5" customFormat="false" ht="30" hidden="false" customHeight="true" outlineLevel="0" collapsed="false">
      <c r="A5" s="20" t="s">
        <v>45</v>
      </c>
      <c r="B5" s="20" t="s">
        <v>46</v>
      </c>
      <c r="C5" s="20" t="s">
        <v>47</v>
      </c>
      <c r="D5" s="20" t="s">
        <v>48</v>
      </c>
      <c r="E5" s="20" t="s">
        <v>49</v>
      </c>
      <c r="F5" s="20" t="s">
        <v>50</v>
      </c>
      <c r="G5" s="20" t="s">
        <v>51</v>
      </c>
      <c r="H5" s="20" t="s">
        <v>52</v>
      </c>
      <c r="I5" s="20" t="s">
        <v>53</v>
      </c>
      <c r="J5" s="20" t="s">
        <v>54</v>
      </c>
      <c r="K5" s="20" t="s">
        <v>55</v>
      </c>
    </row>
    <row r="6" customFormat="false" ht="27.6" hidden="false" customHeight="false" outlineLevel="0" collapsed="false">
      <c r="A6" s="8" t="s">
        <v>56</v>
      </c>
      <c r="B6" s="21" t="n">
        <v>60000</v>
      </c>
      <c r="C6" s="22" t="n">
        <v>0.03</v>
      </c>
      <c r="D6" s="23" t="n">
        <v>8</v>
      </c>
      <c r="E6" s="24" t="n">
        <v>0.07</v>
      </c>
      <c r="F6" s="24" t="n">
        <v>0.12</v>
      </c>
      <c r="G6" s="24" t="n">
        <v>0.16</v>
      </c>
      <c r="H6" s="24" t="n">
        <v>0.2</v>
      </c>
      <c r="I6" s="24" t="n">
        <v>0.23</v>
      </c>
      <c r="J6" s="24" t="n">
        <v>0.25</v>
      </c>
      <c r="K6" s="24" t="n">
        <v>0.27</v>
      </c>
    </row>
    <row r="7" customFormat="false" ht="27.6" hidden="false" customHeight="false" outlineLevel="0" collapsed="false">
      <c r="A7" s="8" t="s">
        <v>57</v>
      </c>
      <c r="B7" s="21" t="n">
        <v>150000</v>
      </c>
      <c r="C7" s="22" t="n">
        <v>0.03</v>
      </c>
      <c r="D7" s="23" t="n">
        <v>9</v>
      </c>
      <c r="E7" s="24" t="n">
        <v>0</v>
      </c>
      <c r="F7" s="24" t="n">
        <v>0.045</v>
      </c>
      <c r="G7" s="24" t="n">
        <v>0.09</v>
      </c>
      <c r="H7" s="24" t="n">
        <v>0.14</v>
      </c>
      <c r="I7" s="24" t="n">
        <v>0.18</v>
      </c>
      <c r="J7" s="24" t="n">
        <v>0.21</v>
      </c>
      <c r="K7" s="24" t="n">
        <v>0.24</v>
      </c>
    </row>
    <row r="8" customFormat="false" ht="27.6" hidden="false" customHeight="false" outlineLevel="0" collapsed="false">
      <c r="A8" s="8" t="s">
        <v>58</v>
      </c>
      <c r="B8" s="21" t="n">
        <v>90000</v>
      </c>
      <c r="C8" s="22" t="n">
        <v>0.03</v>
      </c>
      <c r="D8" s="23" t="n">
        <v>9.5</v>
      </c>
      <c r="E8" s="24" t="n">
        <v>0</v>
      </c>
      <c r="F8" s="24" t="n">
        <v>0</v>
      </c>
      <c r="G8" s="24" t="n">
        <v>0.08</v>
      </c>
      <c r="H8" s="24" t="n">
        <v>0.16</v>
      </c>
      <c r="I8" s="24" t="n">
        <v>0.22</v>
      </c>
      <c r="J8" s="24" t="n">
        <v>0.26</v>
      </c>
      <c r="K8" s="24" t="n">
        <v>0.29</v>
      </c>
    </row>
    <row r="9" customFormat="false" ht="27.6" hidden="false" customHeight="false" outlineLevel="0" collapsed="false">
      <c r="A9" s="8" t="s">
        <v>59</v>
      </c>
      <c r="B9" s="21" t="n">
        <v>120000</v>
      </c>
      <c r="C9" s="22" t="n">
        <v>0.03</v>
      </c>
      <c r="D9" s="23" t="n">
        <v>9.5</v>
      </c>
      <c r="E9" s="24" t="n">
        <v>0</v>
      </c>
      <c r="F9" s="24" t="n">
        <v>0</v>
      </c>
      <c r="G9" s="24" t="n">
        <v>0.04</v>
      </c>
      <c r="H9" s="24" t="n">
        <v>0.11</v>
      </c>
      <c r="I9" s="24" t="n">
        <v>0.17</v>
      </c>
      <c r="J9" s="24" t="n">
        <v>0.21</v>
      </c>
      <c r="K9" s="24" t="n">
        <v>0.24</v>
      </c>
    </row>
    <row r="10" customFormat="false" ht="28.35" hidden="false" customHeight="false" outlineLevel="0" collapsed="false">
      <c r="A10" s="11" t="s">
        <v>60</v>
      </c>
      <c r="B10" s="21" t="n">
        <v>200000</v>
      </c>
      <c r="C10" s="22" t="n">
        <v>0.04</v>
      </c>
      <c r="D10" s="23" t="n">
        <v>9</v>
      </c>
      <c r="E10" s="24" t="n">
        <v>0</v>
      </c>
      <c r="F10" s="24" t="n">
        <v>0</v>
      </c>
      <c r="G10" s="24" t="n">
        <v>0</v>
      </c>
      <c r="H10" s="24" t="n">
        <v>0.01</v>
      </c>
      <c r="I10" s="24" t="n">
        <v>0.03</v>
      </c>
      <c r="J10" s="24" t="n">
        <v>0.05</v>
      </c>
      <c r="K10" s="24" t="n">
        <v>0.08</v>
      </c>
    </row>
    <row r="13" customFormat="false" ht="15" hidden="false" customHeight="false" outlineLevel="0" collapsed="false">
      <c r="A13" s="3" t="s">
        <v>61</v>
      </c>
      <c r="B13" s="3"/>
      <c r="C13" s="3"/>
      <c r="D13" s="3"/>
      <c r="E13" s="3"/>
      <c r="F13" s="3"/>
      <c r="G13" s="3"/>
      <c r="H13" s="19"/>
      <c r="I13" s="19"/>
      <c r="J13" s="19"/>
      <c r="K13" s="19"/>
    </row>
    <row r="14" customFormat="false" ht="15" hidden="false" customHeight="false" outlineLevel="0" collapsed="false">
      <c r="A14" s="20" t="s">
        <v>62</v>
      </c>
      <c r="B14" s="25"/>
      <c r="C14" s="25"/>
      <c r="D14" s="25"/>
      <c r="E14" s="26" t="s">
        <v>63</v>
      </c>
      <c r="F14" s="26" t="s">
        <v>64</v>
      </c>
      <c r="G14" s="26" t="s">
        <v>65</v>
      </c>
      <c r="H14" s="26" t="s">
        <v>66</v>
      </c>
      <c r="I14" s="26" t="s">
        <v>67</v>
      </c>
      <c r="J14" s="26" t="s">
        <v>68</v>
      </c>
      <c r="K14" s="26" t="s">
        <v>69</v>
      </c>
    </row>
    <row r="15" customFormat="false" ht="27.6" hidden="false" customHeight="false" outlineLevel="0" collapsed="false">
      <c r="A15" s="8" t="s">
        <v>56</v>
      </c>
      <c r="B15" s="27"/>
      <c r="C15" s="27"/>
      <c r="D15" s="27"/>
      <c r="E15" s="28" t="n">
        <f aca="false">$B6*(1+$C6)^0*E6*$D6/10000</f>
        <v>3.36</v>
      </c>
      <c r="F15" s="28" t="n">
        <f aca="false">$B6*(1+$C6)^1*F6*$D6/10000</f>
        <v>5.9328</v>
      </c>
      <c r="G15" s="28" t="n">
        <f aca="false">$B6*(1+$C6)^2*G6*$D6/10000</f>
        <v>8.147712</v>
      </c>
      <c r="H15" s="28" t="n">
        <f aca="false">$B6*(1+$C6)^3*H6*$D6/10000</f>
        <v>10.4901792</v>
      </c>
      <c r="I15" s="28" t="n">
        <f aca="false">$B6*(1+$C6)^4*I6*$D6/10000</f>
        <v>12.4256172624</v>
      </c>
      <c r="J15" s="28" t="n">
        <f aca="false">$B6*(1+$C6)^5*J6*$D6/10000</f>
        <v>13.9112888916</v>
      </c>
      <c r="K15" s="28" t="n">
        <f aca="false">$B6*(1+$C6)^6*K6*$D6/10000</f>
        <v>15.4749177630158</v>
      </c>
    </row>
    <row r="16" customFormat="false" ht="27.6" hidden="false" customHeight="false" outlineLevel="0" collapsed="false">
      <c r="A16" s="8" t="s">
        <v>57</v>
      </c>
      <c r="B16" s="27"/>
      <c r="C16" s="27"/>
      <c r="D16" s="27"/>
      <c r="E16" s="28" t="n">
        <f aca="false">$B7*(1+$C7)^0*E7*$D7/10000</f>
        <v>0</v>
      </c>
      <c r="F16" s="28" t="n">
        <f aca="false">$B7*(1+$C7)^1*F7*$D7/10000</f>
        <v>6.25725</v>
      </c>
      <c r="G16" s="28" t="n">
        <f aca="false">$B7*(1+$C7)^2*G7*$D7/10000</f>
        <v>12.889935</v>
      </c>
      <c r="H16" s="28" t="n">
        <f aca="false">$B7*(1+$C7)^3*H7*$D7/10000</f>
        <v>20.6525403</v>
      </c>
      <c r="I16" s="28" t="n">
        <f aca="false">$B7*(1+$C7)^4*I7*$D7/10000</f>
        <v>27.349864083</v>
      </c>
      <c r="J16" s="28" t="n">
        <f aca="false">$B7*(1+$C7)^5*J7*$D7/10000</f>
        <v>32.865420006405</v>
      </c>
      <c r="K16" s="28" t="n">
        <f aca="false">$B7*(1+$C7)^6*K7*$D7/10000</f>
        <v>38.6872944075396</v>
      </c>
    </row>
    <row r="17" customFormat="false" ht="27.6" hidden="false" customHeight="false" outlineLevel="0" collapsed="false">
      <c r="A17" s="8" t="s">
        <v>58</v>
      </c>
      <c r="B17" s="27"/>
      <c r="C17" s="27"/>
      <c r="D17" s="27"/>
      <c r="E17" s="28" t="n">
        <f aca="false">$B8*(1+$C8)^0*E8*$D8/10000</f>
        <v>0</v>
      </c>
      <c r="F17" s="28" t="n">
        <f aca="false">$B8*(1+$C8)^1*F8*$D8/10000</f>
        <v>0</v>
      </c>
      <c r="G17" s="28" t="n">
        <f aca="false">$B8*(1+$C8)^2*G8*$D8/10000</f>
        <v>7.256556</v>
      </c>
      <c r="H17" s="28" t="n">
        <f aca="false">$B8*(1+$C8)^3*H8*$D8/10000</f>
        <v>14.94850536</v>
      </c>
      <c r="I17" s="28" t="n">
        <f aca="false">$B8*(1+$C8)^4*I8*$D8/10000</f>
        <v>21.1708207161</v>
      </c>
      <c r="J17" s="28" t="n">
        <f aca="false">$B8*(1+$C8)^5*J8*$D8/10000</f>
        <v>25.770662671689</v>
      </c>
      <c r="K17" s="28" t="n">
        <f aca="false">$B8*(1+$C8)^6*K8*$D8/10000</f>
        <v>29.6065266924366</v>
      </c>
    </row>
    <row r="18" customFormat="false" ht="27.6" hidden="false" customHeight="false" outlineLevel="0" collapsed="false">
      <c r="A18" s="8" t="s">
        <v>59</v>
      </c>
      <c r="B18" s="27"/>
      <c r="C18" s="27"/>
      <c r="D18" s="27"/>
      <c r="E18" s="28" t="n">
        <f aca="false">$B9*(1+$C9)^0*E9*$D9/10000</f>
        <v>0</v>
      </c>
      <c r="F18" s="28" t="n">
        <f aca="false">$B9*(1+$C9)^1*F9*$D9/10000</f>
        <v>0</v>
      </c>
      <c r="G18" s="28" t="n">
        <f aca="false">$B9*(1+$C9)^2*G9*$D9/10000</f>
        <v>4.837704</v>
      </c>
      <c r="H18" s="28" t="n">
        <f aca="false">$B9*(1+$C9)^3*H9*$D9/10000</f>
        <v>13.70279658</v>
      </c>
      <c r="I18" s="28" t="n">
        <f aca="false">$B9*(1+$C9)^4*I9*$D9/10000</f>
        <v>21.8123607378</v>
      </c>
      <c r="J18" s="28" t="n">
        <f aca="false">$B9*(1+$C9)^5*J9*$D9/10000</f>
        <v>27.753021338742</v>
      </c>
      <c r="K18" s="28" t="n">
        <f aca="false">$B9*(1+$C9)^6*K9*$D9/10000</f>
        <v>32.6692708330334</v>
      </c>
    </row>
    <row r="19" customFormat="false" ht="28.35" hidden="false" customHeight="false" outlineLevel="0" collapsed="false">
      <c r="A19" s="11" t="s">
        <v>60</v>
      </c>
      <c r="B19" s="27"/>
      <c r="C19" s="27"/>
      <c r="D19" s="27"/>
      <c r="E19" s="28" t="n">
        <f aca="false">$B10*(1+$C10)^0*E10*$D10/10000</f>
        <v>0</v>
      </c>
      <c r="F19" s="28" t="n">
        <f aca="false">$B10*(1+$C10)^1*F10*$D10/10000</f>
        <v>0</v>
      </c>
      <c r="G19" s="28" t="n">
        <f aca="false">$B10*(1+$C10)^2*G10*$D10/10000</f>
        <v>0</v>
      </c>
      <c r="H19" s="28" t="n">
        <f aca="false">$B10*(1+$C10)^3*H10*$D10/10000</f>
        <v>2.0247552</v>
      </c>
      <c r="I19" s="28" t="n">
        <f aca="false">$B10*(1+$C10)^4*I10*$D10/10000</f>
        <v>6.317236224</v>
      </c>
      <c r="J19" s="28" t="n">
        <f aca="false">$B10*(1+$C10)^5*J10*$D10/10000</f>
        <v>10.9498761216</v>
      </c>
      <c r="K19" s="28" t="n">
        <f aca="false">$B10*(1+$C10)^6*K10*$D10/10000</f>
        <v>18.2205938663424</v>
      </c>
    </row>
    <row r="20" customFormat="false" ht="15" hidden="false" customHeight="false" outlineLevel="0" collapsed="false">
      <c r="A20" s="29" t="s">
        <v>70</v>
      </c>
      <c r="B20" s="30"/>
      <c r="C20" s="30"/>
      <c r="D20" s="30"/>
      <c r="E20" s="31" t="n">
        <f aca="false">SUM(E15:E19)</f>
        <v>3.36</v>
      </c>
      <c r="F20" s="31" t="n">
        <f aca="false">SUM(F15:F19)</f>
        <v>12.19005</v>
      </c>
      <c r="G20" s="31" t="n">
        <f aca="false">SUM(G15:G19)</f>
        <v>33.131907</v>
      </c>
      <c r="H20" s="31" t="n">
        <f aca="false">SUM(H15:H19)</f>
        <v>61.81877664</v>
      </c>
      <c r="I20" s="31" t="n">
        <f aca="false">SUM(I15:I19)</f>
        <v>89.0758990233</v>
      </c>
      <c r="J20" s="31" t="n">
        <f aca="false">SUM(J15:J19)</f>
        <v>111.250269030036</v>
      </c>
      <c r="K20" s="31" t="n">
        <f aca="false">SUM(K15:K19)</f>
        <v>134.658603562368</v>
      </c>
    </row>
    <row r="21" customFormat="false" ht="15" hidden="false" customHeight="false" outlineLevel="0" collapsed="false">
      <c r="A21" s="32" t="s">
        <v>71</v>
      </c>
      <c r="E21" s="33" t="n">
        <f aca="false">$B6*(1+$C6)^0*E6+$B7*(1+$C7)^0*E7+$B8*(1+$C8)^0*E8+$B9*(1+$C9)^0*E9+$B10*(1+$C10)^0*E10</f>
        <v>4200</v>
      </c>
      <c r="F21" s="33" t="n">
        <f aca="false">$B6*(1+$C6)^1*F6+$B7*(1+$C7)^1*F7+$B8*(1+$C8)^1*F8+$B9*(1+$C9)^1*F9+$B10*(1+$C10)^1*F10</f>
        <v>14368.5</v>
      </c>
      <c r="G21" s="33" t="n">
        <f aca="false">$B6*(1+$C6)^2*G6+$B7*(1+$C7)^2*G7+$B8*(1+$C8)^2*G8+$B9*(1+$C9)^2*G9+$B10*(1+$C10)^2*G10</f>
        <v>37237.59</v>
      </c>
      <c r="H21" s="33" t="n">
        <f aca="false">$B6*(1+$C6)^3*H6+$B7*(1+$C7)^3*H7+$B8*(1+$C8)^3*H8+$B9*(1+$C9)^3*H9+$B10*(1+$C10)^3*H10</f>
        <v>68468.9842</v>
      </c>
      <c r="I21" s="33" t="n">
        <f aca="false">$B6*(1+$C6)^4*I6+$B7*(1+$C7)^4*I7+$B8*(1+$C8)^4*I8+$B9*(1+$C9)^4*I9+$B10*(1+$C10)^4*I10</f>
        <v>98185.36497</v>
      </c>
      <c r="J21" s="33" t="n">
        <f aca="false">$B6*(1+$C6)^5*J6+$B7*(1+$C7)^5*J7+$B8*(1+$C8)^5*J8+$B9*(1+$C9)^5*J9+$B10*(1+$C10)^5*J10</f>
        <v>122413.49348993</v>
      </c>
      <c r="K21" s="33" t="n">
        <f aca="false">$B6*(1+$C6)^6*K6+$B7*(1+$C7)^6*K7+$B8*(1+$C8)^6*K8+$B9*(1+$C9)^6*K9+$B10*(1+$C10)^6*K10</f>
        <v>148128.105254192</v>
      </c>
    </row>
    <row r="22" customFormat="false" ht="15" hidden="false" customHeight="false" outlineLevel="0" collapsed="false">
      <c r="A22" s="34" t="s">
        <v>72</v>
      </c>
      <c r="B22" s="35" t="n">
        <f aca="false">(K20/F20)^(1/5)-1</f>
        <v>0.616760625650034</v>
      </c>
    </row>
  </sheetData>
  <mergeCells count="4">
    <mergeCell ref="A1:K1"/>
    <mergeCell ref="A2:K2"/>
    <mergeCell ref="A4:G4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11" min="5" style="0" width="11"/>
  </cols>
  <sheetData>
    <row r="1" customFormat="false" ht="19.4" hidden="false" customHeight="false" outlineLevel="0" collapsed="false">
      <c r="A1" s="18" t="s">
        <v>73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customFormat="false" ht="11.9" hidden="false" customHeight="false" outlineLevel="0" collapsed="false">
      <c r="A2" s="17" t="s">
        <v>43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false" outlineLevel="0" collapsed="false">
      <c r="A4" s="3" t="s">
        <v>44</v>
      </c>
      <c r="B4" s="3"/>
      <c r="C4" s="3"/>
      <c r="D4" s="3"/>
      <c r="E4" s="3"/>
      <c r="F4" s="3"/>
      <c r="G4" s="3"/>
      <c r="H4" s="19"/>
      <c r="I4" s="19"/>
      <c r="J4" s="19"/>
      <c r="K4" s="19"/>
    </row>
    <row r="5" customFormat="false" ht="30" hidden="false" customHeight="true" outlineLevel="0" collapsed="false">
      <c r="A5" s="20" t="s">
        <v>45</v>
      </c>
      <c r="B5" s="20" t="s">
        <v>46</v>
      </c>
      <c r="C5" s="20" t="s">
        <v>47</v>
      </c>
      <c r="D5" s="20" t="s">
        <v>48</v>
      </c>
      <c r="E5" s="20" t="s">
        <v>49</v>
      </c>
      <c r="F5" s="20" t="s">
        <v>50</v>
      </c>
      <c r="G5" s="20" t="s">
        <v>51</v>
      </c>
      <c r="H5" s="20" t="s">
        <v>52</v>
      </c>
      <c r="I5" s="20" t="s">
        <v>53</v>
      </c>
      <c r="J5" s="20" t="s">
        <v>54</v>
      </c>
      <c r="K5" s="20" t="s">
        <v>55</v>
      </c>
    </row>
    <row r="6" customFormat="false" ht="27.6" hidden="false" customHeight="false" outlineLevel="0" collapsed="false">
      <c r="A6" s="8" t="s">
        <v>74</v>
      </c>
      <c r="B6" s="21" t="n">
        <v>40000</v>
      </c>
      <c r="C6" s="22" t="n">
        <v>0.03</v>
      </c>
      <c r="D6" s="23" t="n">
        <v>10</v>
      </c>
      <c r="E6" s="24" t="n">
        <v>0.1</v>
      </c>
      <c r="F6" s="24" t="n">
        <v>0.18</v>
      </c>
      <c r="G6" s="24" t="n">
        <v>0.24</v>
      </c>
      <c r="H6" s="24" t="n">
        <v>0.28</v>
      </c>
      <c r="I6" s="24" t="n">
        <v>0.31</v>
      </c>
      <c r="J6" s="24" t="n">
        <v>0.33</v>
      </c>
      <c r="K6" s="24" t="n">
        <v>0.34</v>
      </c>
    </row>
    <row r="7" customFormat="false" ht="27.6" hidden="false" customHeight="false" outlineLevel="0" collapsed="false">
      <c r="A7" s="8" t="s">
        <v>75</v>
      </c>
      <c r="B7" s="21" t="n">
        <v>25000</v>
      </c>
      <c r="C7" s="22" t="n">
        <v>0.02</v>
      </c>
      <c r="D7" s="23" t="n">
        <v>9</v>
      </c>
      <c r="E7" s="24" t="n">
        <v>0.12</v>
      </c>
      <c r="F7" s="24" t="n">
        <v>0.15</v>
      </c>
      <c r="G7" s="24" t="n">
        <v>0.17</v>
      </c>
      <c r="H7" s="24" t="n">
        <v>0.18</v>
      </c>
      <c r="I7" s="24" t="n">
        <v>0.19</v>
      </c>
      <c r="J7" s="24" t="n">
        <v>0.2</v>
      </c>
      <c r="K7" s="24" t="n">
        <v>0.2</v>
      </c>
    </row>
    <row r="8" customFormat="false" ht="27.6" hidden="false" customHeight="false" outlineLevel="0" collapsed="false">
      <c r="A8" s="8" t="s">
        <v>76</v>
      </c>
      <c r="B8" s="21" t="n">
        <v>150000</v>
      </c>
      <c r="C8" s="22" t="n">
        <v>0.02</v>
      </c>
      <c r="D8" s="23" t="n">
        <v>10</v>
      </c>
      <c r="E8" s="24" t="n">
        <v>0.01</v>
      </c>
      <c r="F8" s="24" t="n">
        <v>0.03</v>
      </c>
      <c r="G8" s="24" t="n">
        <v>0.06</v>
      </c>
      <c r="H8" s="24" t="n">
        <v>0.09</v>
      </c>
      <c r="I8" s="24" t="n">
        <v>0.11</v>
      </c>
      <c r="J8" s="24" t="n">
        <v>0.12</v>
      </c>
      <c r="K8" s="24" t="n">
        <v>0.13</v>
      </c>
    </row>
    <row r="9" customFormat="false" ht="15" hidden="false" customHeight="false" outlineLevel="0" collapsed="false">
      <c r="A9" s="11" t="s">
        <v>77</v>
      </c>
      <c r="B9" s="21" t="n">
        <v>180000</v>
      </c>
      <c r="C9" s="22" t="n">
        <v>0.03</v>
      </c>
      <c r="D9" s="23" t="n">
        <v>9.5</v>
      </c>
      <c r="E9" s="24" t="n">
        <v>0</v>
      </c>
      <c r="F9" s="24" t="n">
        <v>0</v>
      </c>
      <c r="G9" s="24" t="n">
        <v>0.01</v>
      </c>
      <c r="H9" s="24" t="n">
        <v>0.03</v>
      </c>
      <c r="I9" s="24" t="n">
        <v>0.05</v>
      </c>
      <c r="J9" s="24" t="n">
        <v>0.07</v>
      </c>
      <c r="K9" s="24" t="n">
        <v>0.09</v>
      </c>
    </row>
    <row r="12" customFormat="false" ht="15" hidden="false" customHeight="false" outlineLevel="0" collapsed="false">
      <c r="A12" s="3" t="s">
        <v>61</v>
      </c>
      <c r="B12" s="3"/>
      <c r="C12" s="3"/>
      <c r="D12" s="3"/>
      <c r="E12" s="3"/>
      <c r="F12" s="3"/>
      <c r="G12" s="3"/>
      <c r="H12" s="19"/>
      <c r="I12" s="19"/>
      <c r="J12" s="19"/>
      <c r="K12" s="19"/>
    </row>
    <row r="13" customFormat="false" ht="15" hidden="false" customHeight="false" outlineLevel="0" collapsed="false">
      <c r="A13" s="20" t="s">
        <v>62</v>
      </c>
      <c r="B13" s="25"/>
      <c r="C13" s="25"/>
      <c r="D13" s="25"/>
      <c r="E13" s="26" t="s">
        <v>63</v>
      </c>
      <c r="F13" s="26" t="s">
        <v>64</v>
      </c>
      <c r="G13" s="26" t="s">
        <v>65</v>
      </c>
      <c r="H13" s="26" t="s">
        <v>66</v>
      </c>
      <c r="I13" s="26" t="s">
        <v>67</v>
      </c>
      <c r="J13" s="26" t="s">
        <v>68</v>
      </c>
      <c r="K13" s="26" t="s">
        <v>69</v>
      </c>
    </row>
    <row r="14" customFormat="false" ht="27.6" hidden="false" customHeight="false" outlineLevel="0" collapsed="false">
      <c r="A14" s="8" t="s">
        <v>74</v>
      </c>
      <c r="B14" s="27"/>
      <c r="C14" s="27"/>
      <c r="D14" s="27"/>
      <c r="E14" s="28" t="n">
        <f aca="false">$B6*(1+$C6)^0*E6*$D6/10000</f>
        <v>4</v>
      </c>
      <c r="F14" s="28" t="n">
        <f aca="false">$B6*(1+$C6)^1*F6*$D6/10000</f>
        <v>7.416</v>
      </c>
      <c r="G14" s="28" t="n">
        <f aca="false">$B6*(1+$C6)^2*G6*$D6/10000</f>
        <v>10.18464</v>
      </c>
      <c r="H14" s="28" t="n">
        <f aca="false">$B6*(1+$C6)^3*H6*$D6/10000</f>
        <v>12.2385424</v>
      </c>
      <c r="I14" s="28" t="n">
        <f aca="false">$B6*(1+$C6)^4*I6*$D6/10000</f>
        <v>13.956309244</v>
      </c>
      <c r="J14" s="28" t="n">
        <f aca="false">$B6*(1+$C6)^5*J6*$D6/10000</f>
        <v>15.30241778076</v>
      </c>
      <c r="K14" s="28" t="n">
        <f aca="false">$B6*(1+$C6)^6*K6*$D6/10000</f>
        <v>16.2391112327944</v>
      </c>
    </row>
    <row r="15" customFormat="false" ht="27.6" hidden="false" customHeight="false" outlineLevel="0" collapsed="false">
      <c r="A15" s="8" t="s">
        <v>75</v>
      </c>
      <c r="B15" s="27"/>
      <c r="C15" s="27"/>
      <c r="D15" s="27"/>
      <c r="E15" s="28" t="n">
        <f aca="false">$B7*(1+$C7)^0*E7*$D7/10000</f>
        <v>2.7</v>
      </c>
      <c r="F15" s="28" t="n">
        <f aca="false">$B7*(1+$C7)^1*F7*$D7/10000</f>
        <v>3.4425</v>
      </c>
      <c r="G15" s="28" t="n">
        <f aca="false">$B7*(1+$C7)^2*G7*$D7/10000</f>
        <v>3.97953</v>
      </c>
      <c r="H15" s="28" t="n">
        <f aca="false">$B7*(1+$C7)^3*H7*$D7/10000</f>
        <v>4.2978924</v>
      </c>
      <c r="I15" s="28" t="n">
        <f aca="false">$B7*(1+$C7)^4*I7*$D7/10000</f>
        <v>4.627397484</v>
      </c>
      <c r="J15" s="28" t="n">
        <f aca="false">$B7*(1+$C7)^5*J7*$D7/10000</f>
        <v>4.9683636144</v>
      </c>
      <c r="K15" s="28" t="n">
        <f aca="false">$B7*(1+$C7)^6*K7*$D7/10000</f>
        <v>5.067730886688</v>
      </c>
    </row>
    <row r="16" customFormat="false" ht="27.6" hidden="false" customHeight="false" outlineLevel="0" collapsed="false">
      <c r="A16" s="8" t="s">
        <v>76</v>
      </c>
      <c r="B16" s="27"/>
      <c r="C16" s="27"/>
      <c r="D16" s="27"/>
      <c r="E16" s="28" t="n">
        <f aca="false">$B8*(1+$C8)^0*E8*$D8/10000</f>
        <v>1.5</v>
      </c>
      <c r="F16" s="28" t="n">
        <f aca="false">$B8*(1+$C8)^1*F8*$D8/10000</f>
        <v>4.59</v>
      </c>
      <c r="G16" s="28" t="n">
        <f aca="false">$B8*(1+$C8)^2*G8*$D8/10000</f>
        <v>9.3636</v>
      </c>
      <c r="H16" s="28" t="n">
        <f aca="false">$B8*(1+$C8)^3*H8*$D8/10000</f>
        <v>14.326308</v>
      </c>
      <c r="I16" s="28" t="n">
        <f aca="false">$B8*(1+$C8)^4*I8*$D8/10000</f>
        <v>17.86013064</v>
      </c>
      <c r="J16" s="28" t="n">
        <f aca="false">$B8*(1+$C8)^5*J8*$D8/10000</f>
        <v>19.8734544576</v>
      </c>
      <c r="K16" s="28" t="n">
        <f aca="false">$B8*(1+$C8)^6*K8*$D8/10000</f>
        <v>21.960167175648</v>
      </c>
    </row>
    <row r="17" customFormat="false" ht="15" hidden="false" customHeight="false" outlineLevel="0" collapsed="false">
      <c r="A17" s="11" t="s">
        <v>77</v>
      </c>
      <c r="B17" s="27"/>
      <c r="C17" s="27"/>
      <c r="D17" s="27"/>
      <c r="E17" s="28" t="n">
        <f aca="false">$B9*(1+$C9)^0*E9*$D9/10000</f>
        <v>0</v>
      </c>
      <c r="F17" s="28" t="n">
        <f aca="false">$B9*(1+$C9)^1*F9*$D9/10000</f>
        <v>0</v>
      </c>
      <c r="G17" s="28" t="n">
        <f aca="false">$B9*(1+$C9)^2*G9*$D9/10000</f>
        <v>1.814139</v>
      </c>
      <c r="H17" s="28" t="n">
        <f aca="false">$B9*(1+$C9)^3*H9*$D9/10000</f>
        <v>5.60568951</v>
      </c>
      <c r="I17" s="28" t="n">
        <f aca="false">$B9*(1+$C9)^4*I9*$D9/10000</f>
        <v>9.6231003255</v>
      </c>
      <c r="J17" s="28" t="n">
        <f aca="false">$B9*(1+$C9)^5*J9*$D9/10000</f>
        <v>13.876510669371</v>
      </c>
      <c r="K17" s="28" t="n">
        <f aca="false">$B9*(1+$C9)^6*K9*$D9/10000</f>
        <v>18.3764648435813</v>
      </c>
    </row>
    <row r="18" customFormat="false" ht="15" hidden="false" customHeight="false" outlineLevel="0" collapsed="false">
      <c r="A18" s="29" t="s">
        <v>70</v>
      </c>
      <c r="B18" s="30"/>
      <c r="C18" s="30"/>
      <c r="D18" s="30"/>
      <c r="E18" s="31" t="n">
        <f aca="false">SUM(E14:E17)</f>
        <v>8.2</v>
      </c>
      <c r="F18" s="31" t="n">
        <f aca="false">SUM(F14:F17)</f>
        <v>15.4485</v>
      </c>
      <c r="G18" s="31" t="n">
        <f aca="false">SUM(G14:G17)</f>
        <v>25.341909</v>
      </c>
      <c r="H18" s="31" t="n">
        <f aca="false">SUM(H14:H17)</f>
        <v>36.46843231</v>
      </c>
      <c r="I18" s="31" t="n">
        <f aca="false">SUM(I14:I17)</f>
        <v>46.0669376935</v>
      </c>
      <c r="J18" s="31" t="n">
        <f aca="false">SUM(J14:J17)</f>
        <v>54.020746522131</v>
      </c>
      <c r="K18" s="31" t="n">
        <f aca="false">SUM(K14:K17)</f>
        <v>61.6434741387117</v>
      </c>
    </row>
    <row r="19" customFormat="false" ht="15" hidden="false" customHeight="false" outlineLevel="0" collapsed="false">
      <c r="A19" s="32" t="s">
        <v>71</v>
      </c>
      <c r="E19" s="33" t="n">
        <f aca="false">$B6*(1+$C6)^0*E6+$B7*(1+$C7)^0*E7+$B8*(1+$C8)^0*E8+$B9*(1+$C9)^0*E9</f>
        <v>8500</v>
      </c>
      <c r="F19" s="33" t="n">
        <f aca="false">$B6*(1+$C6)^1*F6+$B7*(1+$C7)^1*F7+$B8*(1+$C8)^1*F8+$B9*(1+$C9)^1*F9</f>
        <v>15831</v>
      </c>
      <c r="G19" s="33" t="n">
        <f aca="false">$B6*(1+$C6)^2*G6+$B7*(1+$C7)^2*G7+$B8*(1+$C8)^2*G8+$B9*(1+$C9)^2*G9</f>
        <v>25879.56</v>
      </c>
      <c r="H19" s="33" t="n">
        <f aca="false">$B6*(1+$C6)^3*H6+$B7*(1+$C7)^3*H7+$B8*(1+$C8)^3*H8+$B9*(1+$C9)^3*H9</f>
        <v>37241.0122</v>
      </c>
      <c r="I19" s="33" t="n">
        <f aca="false">$B6*(1+$C6)^4*I6+$B7*(1+$C7)^4*I7+$B8*(1+$C8)^4*I8+$B9*(1+$C9)^4*I9</f>
        <v>47087.571934</v>
      </c>
      <c r="J19" s="33" t="n">
        <f aca="false">$B6*(1+$C6)^5*J6+$B7*(1+$C7)^5*J7+$B8*(1+$C8)^5*J8+$B9*(1+$C9)^5*J9</f>
        <v>55303.12959054</v>
      </c>
      <c r="K19" s="33" t="n">
        <f aca="false">$B6*(1+$C6)^6*K6+$B7*(1+$C7)^6*K7+$B8*(1+$C8)^6*K8+$B9*(1+$C9)^6*K9</f>
        <v>63173.7377085322</v>
      </c>
    </row>
    <row r="20" customFormat="false" ht="15" hidden="false" customHeight="false" outlineLevel="0" collapsed="false">
      <c r="A20" s="34" t="s">
        <v>72</v>
      </c>
      <c r="B20" s="35" t="n">
        <f aca="false">(K18/F18)^(1/5)-1</f>
        <v>0.318864437691632</v>
      </c>
    </row>
  </sheetData>
  <mergeCells count="4">
    <mergeCell ref="A1:K1"/>
    <mergeCell ref="A2:K2"/>
    <mergeCell ref="A4:G4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5" style="0" width="11"/>
  </cols>
  <sheetData>
    <row r="1" customFormat="false" ht="19.4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17" t="s">
        <v>79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15" hidden="false" customHeight="false" outlineLevel="0" collapsed="false">
      <c r="A4" s="3" t="s">
        <v>80</v>
      </c>
      <c r="B4" s="3"/>
      <c r="C4" s="3"/>
      <c r="D4" s="3"/>
      <c r="E4" s="3"/>
      <c r="F4" s="3"/>
      <c r="G4" s="3"/>
      <c r="H4" s="19"/>
      <c r="I4" s="19"/>
      <c r="J4" s="19"/>
      <c r="K4" s="19"/>
    </row>
    <row r="5" customFormat="false" ht="15" hidden="false" customHeight="false" outlineLevel="0" collapsed="false">
      <c r="A5" s="20" t="s">
        <v>81</v>
      </c>
      <c r="E5" s="26" t="s">
        <v>63</v>
      </c>
      <c r="F5" s="26" t="s">
        <v>64</v>
      </c>
      <c r="G5" s="26" t="s">
        <v>65</v>
      </c>
      <c r="H5" s="26" t="s">
        <v>66</v>
      </c>
      <c r="I5" s="26" t="s">
        <v>67</v>
      </c>
      <c r="J5" s="26" t="s">
        <v>68</v>
      </c>
      <c r="K5" s="26" t="s">
        <v>69</v>
      </c>
    </row>
    <row r="6" customFormat="false" ht="15" hidden="false" customHeight="false" outlineLevel="0" collapsed="false">
      <c r="A6" s="36" t="s">
        <v>82</v>
      </c>
      <c r="E6" s="37" t="n">
        <f aca="false">依沃西AK112!E20</f>
        <v>3.36</v>
      </c>
      <c r="F6" s="37" t="n">
        <f aca="false">依沃西AK112!F20</f>
        <v>12.19005</v>
      </c>
      <c r="G6" s="37" t="n">
        <f aca="false">依沃西AK112!G20</f>
        <v>33.131907</v>
      </c>
      <c r="H6" s="37" t="n">
        <f aca="false">依沃西AK112!H20</f>
        <v>61.81877664</v>
      </c>
      <c r="I6" s="37" t="n">
        <f aca="false">依沃西AK112!I20</f>
        <v>89.0758990233</v>
      </c>
      <c r="J6" s="37" t="n">
        <f aca="false">依沃西AK112!J20</f>
        <v>111.250269030036</v>
      </c>
      <c r="K6" s="37" t="n">
        <f aca="false">依沃西AK112!K20</f>
        <v>134.658603562368</v>
      </c>
    </row>
    <row r="7" customFormat="false" ht="15" hidden="false" customHeight="false" outlineLevel="0" collapsed="false">
      <c r="A7" s="36" t="s">
        <v>83</v>
      </c>
      <c r="E7" s="37" t="n">
        <f aca="false">卡度尼利AK104!E18</f>
        <v>8.2</v>
      </c>
      <c r="F7" s="37" t="n">
        <f aca="false">卡度尼利AK104!F18</f>
        <v>15.4485</v>
      </c>
      <c r="G7" s="37" t="n">
        <f aca="false">卡度尼利AK104!G18</f>
        <v>25.341909</v>
      </c>
      <c r="H7" s="37" t="n">
        <f aca="false">卡度尼利AK104!H18</f>
        <v>36.46843231</v>
      </c>
      <c r="I7" s="37" t="n">
        <f aca="false">卡度尼利AK104!I18</f>
        <v>46.0669376935</v>
      </c>
      <c r="J7" s="37" t="n">
        <f aca="false">卡度尼利AK104!J18</f>
        <v>54.020746522131</v>
      </c>
      <c r="K7" s="37" t="n">
        <f aca="false">卡度尼利AK104!K18</f>
        <v>61.6434741387117</v>
      </c>
    </row>
    <row r="8" customFormat="false" ht="15" hidden="false" customHeight="false" outlineLevel="0" collapsed="false">
      <c r="A8" s="29" t="s">
        <v>84</v>
      </c>
      <c r="E8" s="31" t="n">
        <f aca="false">SUM(E6:E7)</f>
        <v>11.56</v>
      </c>
      <c r="F8" s="31" t="n">
        <f aca="false">SUM(F6:F7)</f>
        <v>27.63855</v>
      </c>
      <c r="G8" s="31" t="n">
        <f aca="false">SUM(G6:G7)</f>
        <v>58.473816</v>
      </c>
      <c r="H8" s="31" t="n">
        <f aca="false">SUM(H6:H7)</f>
        <v>98.28720895</v>
      </c>
      <c r="I8" s="31" t="n">
        <f aca="false">SUM(I6:I7)</f>
        <v>135.1428367168</v>
      </c>
      <c r="J8" s="31" t="n">
        <f aca="false">SUM(J6:J7)</f>
        <v>165.271015552167</v>
      </c>
      <c r="K8" s="31" t="n">
        <f aca="false">SUM(K6:K7)</f>
        <v>196.30207770108</v>
      </c>
    </row>
    <row r="9" customFormat="false" ht="15" hidden="false" customHeight="false" outlineLevel="0" collapsed="false">
      <c r="A9" s="38" t="s">
        <v>85</v>
      </c>
      <c r="E9" s="39" t="s">
        <v>86</v>
      </c>
      <c r="F9" s="40" t="n">
        <f aca="false">F8/E8-1</f>
        <v>1.39087802768166</v>
      </c>
      <c r="G9" s="40" t="n">
        <f aca="false">G8/F8-1</f>
        <v>1.11566149454295</v>
      </c>
      <c r="H9" s="40" t="n">
        <f aca="false">H8/G8-1</f>
        <v>0.680875572581068</v>
      </c>
      <c r="I9" s="40" t="n">
        <f aca="false">I8/H8-1</f>
        <v>0.374978882405227</v>
      </c>
      <c r="J9" s="40" t="n">
        <f aca="false">J8/I8-1</f>
        <v>0.2229358178895</v>
      </c>
      <c r="K9" s="40" t="n">
        <f aca="false">K8/J8-1</f>
        <v>0.187758646277077</v>
      </c>
    </row>
    <row r="11" customFormat="false" ht="14.9" hidden="false" customHeight="false" outlineLevel="0" collapsed="false">
      <c r="A11" s="41" t="s">
        <v>87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</row>
    <row r="12" customFormat="false" ht="15" hidden="false" customHeight="false" outlineLevel="0" collapsed="false">
      <c r="A12" s="42" t="s">
        <v>88</v>
      </c>
      <c r="E12" s="17" t="s">
        <v>89</v>
      </c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42" t="s">
        <v>90</v>
      </c>
    </row>
    <row r="15" customFormat="false" ht="15" hidden="false" customHeight="false" outlineLevel="0" collapsed="false">
      <c r="A15" s="3" t="s">
        <v>91</v>
      </c>
      <c r="B15" s="3"/>
      <c r="C15" s="3"/>
      <c r="D15" s="3"/>
      <c r="E15" s="3"/>
      <c r="F15" s="3"/>
      <c r="G15" s="3"/>
      <c r="H15" s="19"/>
      <c r="I15" s="19"/>
      <c r="J15" s="19"/>
      <c r="K15" s="19"/>
    </row>
    <row r="16" customFormat="false" ht="11.9" hidden="false" customHeight="false" outlineLevel="0" collapsed="false">
      <c r="A16" s="17" t="s">
        <v>92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8" customFormat="false" ht="28.35" hidden="false" customHeight="false" outlineLevel="0" collapsed="false">
      <c r="B18" s="6" t="s">
        <v>93</v>
      </c>
      <c r="C18" s="43" t="n">
        <v>0.85</v>
      </c>
      <c r="D18" s="43" t="n">
        <v>0.925</v>
      </c>
      <c r="E18" s="43" t="n">
        <v>1</v>
      </c>
      <c r="F18" s="43" t="n">
        <v>1.075</v>
      </c>
      <c r="G18" s="43" t="n">
        <v>1.15</v>
      </c>
    </row>
    <row r="19" customFormat="false" ht="15" hidden="false" customHeight="false" outlineLevel="0" collapsed="false">
      <c r="A19" s="20" t="s">
        <v>94</v>
      </c>
      <c r="B19" s="43" t="n">
        <v>0.7</v>
      </c>
      <c r="C19" s="28" t="n">
        <f aca="false">$K$8*$B19*C$18</f>
        <v>116.799736232142</v>
      </c>
      <c r="D19" s="28" t="n">
        <f aca="false">$K$8*$B19*D$18</f>
        <v>127.105595311449</v>
      </c>
      <c r="E19" s="28" t="n">
        <f aca="false">$K$8*$B19*E$18</f>
        <v>137.411454390756</v>
      </c>
      <c r="F19" s="28" t="n">
        <f aca="false">$K$8*$B19*F$18</f>
        <v>147.717313470062</v>
      </c>
      <c r="G19" s="28" t="n">
        <f aca="false">$K$8*$B19*G$18</f>
        <v>158.023172549369</v>
      </c>
    </row>
    <row r="20" customFormat="false" ht="15" hidden="false" customHeight="false" outlineLevel="0" collapsed="false">
      <c r="B20" s="43" t="n">
        <v>0.85</v>
      </c>
      <c r="C20" s="28" t="n">
        <f aca="false">$K$8*$B20*C$18</f>
        <v>141.82825113903</v>
      </c>
      <c r="D20" s="28" t="n">
        <f aca="false">$K$8*$B20*D$18</f>
        <v>154.342508592474</v>
      </c>
      <c r="E20" s="28" t="n">
        <f aca="false">$K$8*$B20*E$18</f>
        <v>166.856766045918</v>
      </c>
      <c r="F20" s="28" t="n">
        <f aca="false">$K$8*$B20*F$18</f>
        <v>179.371023499361</v>
      </c>
      <c r="G20" s="28" t="n">
        <f aca="false">$K$8*$B20*G$18</f>
        <v>191.885280952805</v>
      </c>
    </row>
    <row r="21" customFormat="false" ht="15" hidden="false" customHeight="false" outlineLevel="0" collapsed="false">
      <c r="B21" s="43" t="n">
        <v>1</v>
      </c>
      <c r="C21" s="28" t="n">
        <f aca="false">$K$8*$B21*C$18</f>
        <v>166.856766045918</v>
      </c>
      <c r="D21" s="28" t="n">
        <f aca="false">$K$8*$B21*D$18</f>
        <v>181.579421873499</v>
      </c>
      <c r="E21" s="31" t="n">
        <f aca="false">$K$8*$B21*E$18</f>
        <v>196.30207770108</v>
      </c>
      <c r="F21" s="28" t="n">
        <f aca="false">$K$8*$B21*F$18</f>
        <v>211.024733528661</v>
      </c>
      <c r="G21" s="28" t="n">
        <f aca="false">$K$8*$B21*G$18</f>
        <v>225.747389356242</v>
      </c>
    </row>
    <row r="22" customFormat="false" ht="15" hidden="false" customHeight="false" outlineLevel="0" collapsed="false">
      <c r="B22" s="43" t="n">
        <v>1.15</v>
      </c>
      <c r="C22" s="28" t="n">
        <f aca="false">$K$8*$B22*C$18</f>
        <v>191.885280952805</v>
      </c>
      <c r="D22" s="28" t="n">
        <f aca="false">$K$8*$B22*D$18</f>
        <v>208.816335154523</v>
      </c>
      <c r="E22" s="28" t="n">
        <f aca="false">$K$8*$B22*E$18</f>
        <v>225.747389356242</v>
      </c>
      <c r="F22" s="28" t="n">
        <f aca="false">$K$8*$B22*F$18</f>
        <v>242.67844355796</v>
      </c>
      <c r="G22" s="28" t="n">
        <f aca="false">$K$8*$B22*G$18</f>
        <v>259.609497759678</v>
      </c>
    </row>
    <row r="23" customFormat="false" ht="15" hidden="false" customHeight="false" outlineLevel="0" collapsed="false">
      <c r="B23" s="43" t="n">
        <v>1.3</v>
      </c>
      <c r="C23" s="28" t="n">
        <f aca="false">$K$8*$B23*C$18</f>
        <v>216.913795859693</v>
      </c>
      <c r="D23" s="28" t="n">
        <f aca="false">$K$8*$B23*D$18</f>
        <v>236.053248435548</v>
      </c>
      <c r="E23" s="28" t="n">
        <f aca="false">$K$8*$B23*E$18</f>
        <v>255.192701011403</v>
      </c>
      <c r="F23" s="28" t="n">
        <f aca="false">$K$8*$B23*F$18</f>
        <v>274.332153587259</v>
      </c>
      <c r="G23" s="28" t="n">
        <f aca="false">$K$8*$B23*G$18</f>
        <v>293.471606163114</v>
      </c>
    </row>
  </sheetData>
  <mergeCells count="7">
    <mergeCell ref="A1:K1"/>
    <mergeCell ref="A2:K2"/>
    <mergeCell ref="A4:G4"/>
    <mergeCell ref="A11:K11"/>
    <mergeCell ref="E12:K12"/>
    <mergeCell ref="A15:G15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2026-06-10T12:52:41Z</dcterms:created>
  <dc:creator>openpyxl</dc:creator>
  <dc:description/>
  <dc:language>en-US</dc:language>
  <cp:lastModifiedBy/>
  <dcterms:modified xsi:type="dcterms:W3CDTF">2026-06-10T12:52:41Z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