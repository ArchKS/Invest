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7066987f8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总览" sheetId="1" r:id="Rb73e198653db41ee"/>
    <x:sheet xmlns:r="http://schemas.openxmlformats.org/officeDocument/2006/relationships" name="参数与事实" sheetId="2" r:id="R59cb3ff3adf64f97"/>
    <x:sheet xmlns:r="http://schemas.openxmlformats.org/officeDocument/2006/relationships" name="项目利润" sheetId="3" r:id="R0e986e70ec334bb1"/>
    <x:sheet xmlns:r="http://schemas.openxmlformats.org/officeDocument/2006/relationships" name="集团利润" sheetId="4" r:id="R32fa86cbbef5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.0;(#,##0.0);&quot;—&quot;"/>
    <x:numFmt numFmtId="202" formatCode="0.00%"/>
    <x:numFmt numFmtId="203" formatCode="0.000"/>
  </x:numFmts>
  <x:fonts count="8">
    <x:font>
      <x:sz val="11"/>
      <x:name val="Carlito"/>
    </x:font>
    <x:font>
      <x:sz val="10"/>
      <x:color rgb="FF172B4D"/>
      <x:name val="Microsoft YaHei"/>
    </x:font>
    <x:font>
      <x:b/>
      <x:sz val="16"/>
      <x:color rgb="FFFFFFFF"/>
      <x:name val="Microsoft YaHei"/>
    </x:font>
    <x:font>
      <x:b/>
      <x:sz val="10"/>
      <x:color rgb="FF142D4E"/>
      <x:name val="Microsoft YaHei"/>
    </x:font>
    <x:font>
      <x:sz val="10"/>
      <x:color rgb="FF1761AE"/>
      <x:name val="Microsoft YaHei"/>
    </x:font>
    <x:font>
      <x:b/>
      <x:sz val="10"/>
      <x:color rgb="FF172B4D"/>
      <x:name val="Microsoft YaHei"/>
    </x:font>
    <x:font>
      <x:sz val="10"/>
      <x:color rgb="FF237A49"/>
      <x:name val="Microsoft YaHei"/>
    </x:font>
    <x:font>
      <x:b/>
      <x:sz val="10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42D4E"/>
      </x:patternFill>
    </x:fill>
    <x:fill>
      <x:patternFill patternType="solid">
        <x:fgColor rgb="FFDCE7F3"/>
      </x:patternFill>
    </x:fill>
    <x:fill>
      <x:patternFill patternType="solid">
        <x:fgColor rgb="FFF0F5FA"/>
      </x:patternFill>
    </x:fill>
    <x:fill>
      <x:patternFill patternType="solid">
        <x:fgColor rgb="FFFFF3D9"/>
      </x:patternFill>
    </x:fill>
    <x:fill>
      <x:patternFill patternType="solid">
        <x:fgColor rgb="FFE2F2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AC2525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cd93b7a054b55" /><Relationship Type="http://schemas.openxmlformats.org/officeDocument/2006/relationships/theme" Target="/xl/theme/theme1.xml" Id="R0e117b2719fc48b4" /><Relationship Type="http://schemas.openxmlformats.org/officeDocument/2006/relationships/sharedStrings" Target="/xl/sharedStrings.xml" Id="R3e6574a8954e43a4" /><Relationship Type="http://schemas.openxmlformats.org/officeDocument/2006/relationships/worksheet" Target="/xl/worksheets/sheet1.xml" Id="Rb73e198653db41ee" /><Relationship Type="http://schemas.openxmlformats.org/officeDocument/2006/relationships/worksheet" Target="/xl/worksheets/sheet2.xml" Id="R59cb3ff3adf64f97" /><Relationship Type="http://schemas.openxmlformats.org/officeDocument/2006/relationships/worksheet" Target="/xl/worksheets/sheet3.xml" Id="R0e986e70ec334bb1" /><Relationship Type="http://schemas.openxmlformats.org/officeDocument/2006/relationships/worksheet" Target="/xl/worksheets/sheet4.xml" Id="R32fa86cbbef547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</x:cols>
  <x:sheetData>
    <x:row r="1" ht="23" customHeight="1">
      <x:c r="A1" s="4" t="str">
        <x:v>锂价四档 × 三年税后归母利润</x:v>
      </x:c>
      <x:c r="B1" s="4"/>
      <x:c r="C1" s="4"/>
      <x:c r="D1" s="4"/>
      <x:c r="E1" s="4"/>
      <x:c r="F1" s="4"/>
      <x:c r="G1" s="4"/>
    </x:row>
    <x:row r="2" ht="23" customHeight="1">
      <x:c r="A2" s="4"/>
      <x:c r="B2" s="4"/>
      <x:c r="C2" s="4"/>
      <x:c r="D2" s="4"/>
      <x:c r="E2" s="4"/>
      <x:c r="F2" s="4"/>
      <x:c r="G2" s="4"/>
    </x:row>
    <x:row r="3" ht="34" customHeight="1">
      <x:c r="A3" s="8" t="str">
        <x:v>资料截至2026-10-12｜2027–2029全年均价情景，不是锂价预测｜利润：亿元；销量：万吨LCE</x:v>
      </x:c>
      <x:c r="B3" s="8"/>
      <x:c r="C3" s="8"/>
      <x:c r="D3" s="8"/>
      <x:c r="E3" s="8"/>
      <x:c r="F3" s="8"/>
      <x:c r="G3" s="8"/>
    </x:row>
    <x:row r="4" ht="34" customHeight="1">
      <x:c r="A4" s="7" t="str">
        <x:v>公司</x:v>
      </x:c>
      <x:c r="B4" s="7" t="str">
        <x:v>年度</x:v>
      </x:c>
      <x:c r="C4" s="7" t="str">
        <x:v>10万/吨</x:v>
      </x:c>
      <x:c r="D4" s="7" t="str">
        <x:v>15万/吨</x:v>
      </x:c>
      <x:c r="E4" s="7" t="str">
        <x:v>20万/吨</x:v>
      </x:c>
      <x:c r="F4" s="7" t="str">
        <x:v>30万/吨</x:v>
      </x:c>
      <x:c r="G4" s="7" t="str">
        <x:v>权益资源量</x:v>
      </x:c>
    </x:row>
    <x:row r="5" ht="23" customHeight="1">
      <x:c r="A5" s="23" t="str">
        <x:v>雅化集团</x:v>
      </x:c>
      <x:c r="B5" s="23" t="n">
        <x:v>2027</x:v>
      </x:c>
      <x:c r="C5" s="25" t="n">
        <x:f>集团利润!O5</x:f>
        <x:v>7.303481344966803</x:v>
      </x:c>
      <x:c r="D5" s="25" t="n">
        <x:f>集团利润!O6</x:f>
        <x:v>16.22651410215708</x:v>
      </x:c>
      <x:c r="E5" s="25" t="n">
        <x:f>集团利润!O7</x:f>
        <x:v>25.07355128412609</x:v>
      </x:c>
      <x:c r="F5" s="25" t="n">
        <x:f>集团利润!O8</x:f>
        <x:v>42.76762564806416</x:v>
      </x:c>
      <x:c r="G5" s="24" t="n">
        <x:f>参数与事实!I27*参数与事实!C27+参数与事实!I28*参数与事实!C28</x:f>
        <x:v>2.678875</x:v>
      </x:c>
    </x:row>
    <x:row r="6" ht="23" customHeight="1">
      <x:c r="A6" s="23" t="str">
        <x:v>雅化集团</x:v>
      </x:c>
      <x:c r="B6" s="23" t="n">
        <x:v>2028</x:v>
      </x:c>
      <x:c r="C6" s="25" t="n">
        <x:f>集团利润!O9</x:f>
        <x:v>8.567339291862545</x:v>
      </x:c>
      <x:c r="D6" s="25" t="n">
        <x:f>集团利润!O10</x:f>
        <x:v>18.778404479569968</x:v>
      </x:c>
      <x:c r="E6" s="25" t="n">
        <x:f>集团利润!O11</x:f>
        <x:v>28.93000064072869</x:v>
      </x:c>
      <x:c r="F6" s="25" t="n">
        <x:f>集团利润!O12</x:f>
        <x:v>49.233192963046186</x:v>
      </x:c>
      <x:c r="G6" s="24" t="n">
        <x:f>参数与事实!J27*参数与事实!C27+参数与事实!J28*参数与事实!C28</x:f>
        <x:v>3.0058281250000003</x:v>
      </x:c>
    </x:row>
    <x:row r="7" ht="23" customHeight="1">
      <x:c r="A7" s="23" t="str">
        <x:v>雅化集团</x:v>
      </x:c>
      <x:c r="B7" s="23" t="n">
        <x:v>2029</x:v>
      </x:c>
      <x:c r="C7" s="25" t="n">
        <x:f>集团利润!O13</x:f>
        <x:v>8.693445486552811</x:v>
      </x:c>
      <x:c r="D7" s="25" t="n">
        <x:f>集团利润!O14</x:f>
        <x:v>18.96918987780006</x:v>
      </x:c>
      <x:c r="E7" s="25" t="n">
        <x:f>集团利润!O15</x:f>
        <x:v>29.174381171702144</x:v>
      </x:c>
      <x:c r="F7" s="25" t="n">
        <x:f>集团利润!O16</x:f>
        <x:v>49.58476375950636</x:v>
      </x:c>
      <x:c r="G7" s="24" t="n">
        <x:f>参数与事实!K27*参数与事实!C27+参数与事实!K28*参数与事实!C28</x:f>
        <x:v>3.0058281250000003</x:v>
      </x:c>
    </x:row>
    <x:row r="8" ht="23" customHeight="1">
      <x:c r="A8" s="2" t="str">
        <x:v>盛新锂能</x:v>
      </x:c>
      <x:c r="B8" s="2" t="n">
        <x:v>2027</x:v>
      </x:c>
      <x:c r="C8" s="22" t="n">
        <x:f>集团利润!O17</x:f>
        <x:v>-2.975894070796473</x:v>
      </x:c>
      <x:c r="D8" s="22" t="n">
        <x:f>集团利润!O18</x:f>
        <x:v>9.194063893805307</x:v>
      </x:c>
      <x:c r="E8" s="22" t="n">
        <x:f>集团利润!O19</x:f>
        <x:v>21.36402185840706</x:v>
      </x:c>
      <x:c r="F8" s="22" t="n">
        <x:f>集团利润!O20</x:f>
        <x:v>45.555796194690274</x:v>
      </x:c>
      <x:c r="G8" s="15" t="n">
        <x:f>参数与事实!I29*参数与事实!C29+参数与事实!I30*参数与事实!C30+参数与事实!I31*参数与事实!C31</x:f>
        <x:v>3.7800000000000002</x:v>
      </x:c>
    </x:row>
    <x:row r="9" ht="23" customHeight="1">
      <x:c r="A9" s="2" t="str">
        <x:v>盛新锂能</x:v>
      </x:c>
      <x:c r="B9" s="2" t="n">
        <x:v>2028</x:v>
      </x:c>
      <x:c r="C9" s="22" t="n">
        <x:f>集团利润!O21</x:f>
        <x:v>-2.7868901869469145</x:v>
      </x:c>
      <x:c r="D9" s="22" t="n">
        <x:f>集团利润!O22</x:f>
        <x:v>10.596198032079647</x:v>
      </x:c>
      <x:c r="E9" s="22" t="n">
        <x:f>集团利润!O23</x:f>
        <x:v>23.97928625110618</x:v>
      </x:c>
      <x:c r="F9" s="22" t="n">
        <x:f>集团利润!O24</x:f>
        <x:v>50.66740959181416</x:v>
      </x:c>
      <x:c r="G9" s="15" t="n">
        <x:f>参数与事实!J29*参数与事实!C29+参数与事实!J30*参数与事实!C30+参数与事实!J31*参数与事实!C31</x:f>
        <x:v>4.0225</x:v>
      </x:c>
    </x:row>
    <x:row r="10" ht="23" customHeight="1">
      <x:c r="A10" s="2" t="str">
        <x:v>盛新锂能</x:v>
      </x:c>
      <x:c r="B10" s="2" t="n">
        <x:v>2029</x:v>
      </x:c>
      <x:c r="C10" s="22" t="n">
        <x:f>集团利润!O25</x:f>
        <x:v>-3.6647662931416054</x:v>
      </x:c>
      <x:c r="D10" s="22" t="n">
        <x:f>集团利润!O26</x:f>
        <x:v>9.779383872787612</x:v>
      </x:c>
      <x:c r="E10" s="22" t="n">
        <x:f>集团利润!O27</x:f>
        <x:v>23.2235340387168</x:v>
      </x:c>
      <x:c r="F10" s="22" t="n">
        <x:f>集团利润!O28</x:f>
        <x:v>50.111834370575224</x:v>
      </x:c>
      <x:c r="G10" s="15" t="n">
        <x:f>参数与事实!K29*参数与事实!C29+参数与事实!K30*参数与事实!C30+参数与事实!K31*参数与事实!C31</x:f>
        <x:v>4.0225</x:v>
      </x:c>
    </x:row>
    <x:row r="11" ht="23" customHeight="1">
      <x:c r="A11" s="23" t="str">
        <x:v>赣锋锂业</x:v>
      </x:c>
      <x:c r="B11" s="23" t="n">
        <x:v>2027</x:v>
      </x:c>
      <x:c r="C11" s="25" t="n">
        <x:f>集团利润!O29</x:f>
        <x:v>3.7056546676991253</x:v>
      </x:c>
      <x:c r="D11" s="25" t="n">
        <x:f>集团利润!O30</x:f>
        <x:v>37.93125577654866</x:v>
      </x:c>
      <x:c r="E11" s="25" t="n">
        <x:f>集团利润!O31</x:f>
        <x:v>72.15685688539827</x:v>
      </x:c>
      <x:c r="F11" s="25" t="n">
        <x:f>集团利润!O32</x:f>
        <x:v>139.88859007654867</x:v>
      </x:c>
      <x:c r="G11" s="24" t="n">
        <x:f>参数与事实!I32*参数与事实!C32+参数与事实!I33*参数与事实!C33+参数与事实!I34*参数与事实!C34+参数与事实!I35*参数与事实!C35+参数与事实!I36*参数与事实!C36+参数与事实!I37*参数与事实!C37+参数与事实!I38*参数与事实!C38+参数与事实!I39*参数与事实!C39</x:f>
        <x:v>10.595130000000001</x:v>
      </x:c>
    </x:row>
    <x:row r="12" ht="23" customHeight="1">
      <x:c r="A12" s="23" t="str">
        <x:v>赣锋锂业</x:v>
      </x:c>
      <x:c r="B12" s="23" t="n">
        <x:v>2028</x:v>
      </x:c>
      <x:c r="C12" s="25" t="n">
        <x:f>集团利润!O33</x:f>
        <x:v>6.239548192477887</x:v>
      </x:c>
      <x:c r="D12" s="25" t="n">
        <x:f>集团利润!O34</x:f>
        <x:v>44.93893066371682</x:v>
      </x:c>
      <x:c r="E12" s="25" t="n">
        <x:f>集团利润!O35</x:f>
        <x:v>83.63831313495578</x:v>
      </x:c>
      <x:c r="F12" s="25" t="n">
        <x:f>集团利润!O36</x:f>
        <x:v>160.29902498008852</x:v>
      </x:c>
      <x:c r="G12" s="24" t="n">
        <x:f>参数与事实!J32*参数与事实!C32+参数与事实!J33*参数与事实!C33+参数与事实!J34*参数与事实!C34+参数与事实!J35*参数与事实!C35+参数与事实!J36*参数与事实!C36+参数与事实!J37*参数与事实!C37+参数与事实!J38*参数与事实!C38+参数与事实!J39*参数与事实!C39</x:f>
        <x:v>12.099810000000002</x:v>
      </x:c>
    </x:row>
    <x:row r="13" ht="23" customHeight="1">
      <x:c r="A13" s="23" t="str">
        <x:v>赣锋锂业</x:v>
      </x:c>
      <x:c r="B13" s="23" t="n">
        <x:v>2029</x:v>
      </x:c>
      <x:c r="C13" s="25" t="n">
        <x:f>集团利润!O37</x:f>
        <x:v>8.733452000000014</x:v>
      </x:c>
      <x:c r="D13" s="25" t="n">
        <x:f>集团利润!O38</x:f>
        <x:v>51.57585550000001</x:v>
      </x:c>
      <x:c r="E13" s="25" t="n">
        <x:f>集团利润!O39</x:f>
        <x:v>94.41825900000003</x:v>
      </x:c>
      <x:c r="F13" s="25" t="n">
        <x:f>集团利润!O40</x:f>
        <x:v>179.34642883185845</x:v>
      </x:c>
      <x:c r="G13" s="24" t="n">
        <x:f>参数与事实!K32*参数与事实!C32+参数与事实!K33*参数与事实!C33+参数与事实!K34*参数与事实!C34+参数与事实!K35*参数与事实!C35+参数与事实!K36*参数与事实!C36+参数与事实!K37*参数与事实!C37+参数与事实!K38*参数与事实!C38+参数与事实!K39*参数与事实!C39</x:f>
        <x:v>13.4685</x:v>
      </x:c>
    </x:row>
    <x:row r="14" ht="23" customHeight="1">
      <x:c r="A14" s="2"/>
      <x:c r="B14" s="2"/>
      <x:c r="C14" s="2"/>
      <x:c r="D14" s="2"/>
      <x:c r="E14" s="2"/>
      <x:c r="F14" s="2"/>
      <x:c r="G14" s="2"/>
    </x:row>
    <x:row r="15" ht="44" customHeight="1">
      <x:c r="A15" s="27" t="str">
        <x:v>关键条件：锂价指电池级碳酸锂含税年均价；氢氧化锂及中间产品按LCE与实现价折扣；不是全年最高价。</x:v>
      </x:c>
      <x:c r="B15" s="27"/>
      <x:c r="C15" s="27"/>
      <x:c r="D15" s="27"/>
      <x:c r="E15" s="27"/>
      <x:c r="F15" s="27"/>
      <x:c r="G15" s="27"/>
    </x:row>
    <x:row r="16" ht="23" customHeight="1">
      <x:c r="A16" s="2"/>
      <x:c r="B16" s="2"/>
      <x:c r="C16" s="2"/>
      <x:c r="D16" s="2"/>
      <x:c r="E16" s="2"/>
      <x:c r="F16" s="2"/>
      <x:c r="G16" s="2"/>
    </x:row>
    <x:row r="17" ht="30" customHeight="1">
      <x:c r="A17" s="28" t="str">
        <x:v>2028年 / 15万元情景：利润从哪里来（亿元）</x:v>
      </x:c>
      <x:c r="B17" s="28"/>
      <x:c r="C17" s="28"/>
      <x:c r="D17" s="28"/>
      <x:c r="E17" s="28"/>
      <x:c r="F17" s="28"/>
      <x:c r="G17" s="28"/>
    </x:row>
    <x:row r="18" ht="23" customHeight="1">
      <x:c r="A18" s="2" t="str">
        <x:v>公司</x:v>
      </x:c>
      <x:c r="B18" s="2" t="str">
        <x:v>矿/盐湖税后</x:v>
      </x:c>
      <x:c r="C18" s="2" t="str">
        <x:v>炼化税前</x:v>
      </x:c>
      <x:c r="D18" s="2" t="str">
        <x:v>炼化所得税</x:v>
      </x:c>
      <x:c r="E18" s="2" t="str">
        <x:v>其他净利润</x:v>
      </x:c>
      <x:c r="F18" s="2" t="str">
        <x:v>总归母</x:v>
      </x:c>
      <x:c r="G18" s="2" t="str"/>
    </x:row>
    <x:row r="19" ht="23" customHeight="1">
      <x:c r="A19" s="2" t="str">
        <x:v>雅化集团</x:v>
      </x:c>
      <x:c r="B19" s="15" t="n">
        <x:f>集团利润!M10</x:f>
        <x:v>13.128891205233693</x:v>
      </x:c>
      <x:c r="C19" s="15" t="n">
        <x:f>集团利润!K10</x:f>
        <x:v>1.705309734513265</x:v>
      </x:c>
      <x:c r="D19" s="15" t="n">
        <x:f>集团利润!L10</x:f>
        <x:v>0.25579646017698976</x:v>
      </x:c>
      <x:c r="E19" s="15" t="n">
        <x:f>集团利润!N10</x:f>
        <x:v>4.2</x:v>
      </x:c>
      <x:c r="F19" s="15" t="n">
        <x:f>集团利润!O10</x:f>
        <x:v>18.778404479569968</x:v>
      </x:c>
      <x:c r="G19" s="2"/>
    </x:row>
    <x:row r="20" ht="23" customHeight="1">
      <x:c r="A20" s="2" t="str">
        <x:v>盛新锂能</x:v>
      </x:c>
      <x:c r="B20" s="15" t="n">
        <x:f>集团利润!M22</x:f>
        <x:v>16.87938387278762</x:v>
      </x:c>
      <x:c r="C20" s="15" t="n">
        <x:f>集团利润!K22</x:f>
        <x:v>-6.283185840707974</x:v>
      </x:c>
      <x:c r="D20" s="15" t="n">
        <x:f>集团利润!L22</x:f>
        <x:v>0</x:v>
      </x:c>
      <x:c r="E20" s="15" t="n">
        <x:f>集团利润!N22</x:f>
        <x:v>0</x:v>
      </x:c>
      <x:c r="F20" s="15" t="n">
        <x:f>集团利润!O22</x:f>
        <x:v>10.596198032079647</x:v>
      </x:c>
      <x:c r="G20" s="2"/>
    </x:row>
    <x:row r="21" ht="23" customHeight="1">
      <x:c r="A21" s="2" t="str">
        <x:v>赣锋锂业</x:v>
      </x:c>
      <x:c r="B21" s="15" t="n">
        <x:f>集团利润!M34</x:f>
        <x:v>49.47875367256639</x:v>
      </x:c>
      <x:c r="C21" s="15" t="n">
        <x:f>集团利润!K34</x:f>
        <x:v>-11.539823008849574</x:v>
      </x:c>
      <x:c r="D21" s="15" t="n">
        <x:f>集团利润!L34</x:f>
        <x:v>0</x:v>
      </x:c>
      <x:c r="E21" s="15" t="n">
        <x:f>集团利润!N34</x:f>
        <x:v>7</x:v>
      </x:c>
      <x:c r="F21" s="15" t="n">
        <x:f>集团利润!O34</x:f>
        <x:v>44.93893066371682</x:v>
      </x:c>
      <x:c r="G21" s="2"/>
    </x:row>
    <x:row r="22" ht="23" customHeight="1">
      <x:c r="A22" s="2"/>
      <x:c r="B22" s="2"/>
      <x:c r="C22" s="2"/>
      <x:c r="D22" s="2"/>
      <x:c r="E22" s="2"/>
      <x:c r="F22" s="2"/>
      <x:c r="G22" s="2"/>
    </x:row>
    <x:row r="23" ht="30" customHeight="1">
      <x:c r="A23" s="28" t="str">
        <x:v>2028年 / 15万元情景：成本误差影响（亿元）</x:v>
      </x:c>
      <x:c r="B23" s="28"/>
      <x:c r="C23" s="28"/>
      <x:c r="D23" s="28"/>
      <x:c r="E23" s="28"/>
      <x:c r="F23" s="28"/>
      <x:c r="G23" s="28"/>
    </x:row>
    <x:row r="24" ht="23" customHeight="1">
      <x:c r="A24" s="2" t="str">
        <x:v>公司</x:v>
      </x:c>
      <x:c r="B24" s="2" t="str">
        <x:v>基准利润</x:v>
      </x:c>
      <x:c r="C24" s="2" t="str">
        <x:v>矿成本+1万</x:v>
      </x:c>
      <x:c r="D24" s="2" t="str">
        <x:v>利润减少</x:v>
      </x:c>
      <x:c r="E24" s="2" t="str">
        <x:v>成本冲击后</x:v>
      </x:c>
      <x:c r="F24" s="2" t="str"/>
      <x:c r="G24" s="2" t="str"/>
    </x:row>
    <x:row r="25" ht="23" customHeight="1">
      <x:c r="A25" s="2" t="str">
        <x:v>雅化集团</x:v>
      </x:c>
      <x:c r="B25" s="15" t="n">
        <x:f>集团利润!O10</x:f>
        <x:v>18.778404479569968</x:v>
      </x:c>
      <x:c r="C25" s="15" t="n">
        <x:v>1</x:v>
      </x:c>
      <x:c r="D25" s="15" t="n">
        <x:f>C25*(参数与事实!J27*参数与事实!C27*(1-参数与事实!G27)+参数与事实!J28*参数与事实!C28*(1-参数与事实!G28))</x:f>
        <x:v>2.30675390625</x:v>
      </x:c>
      <x:c r="E25" s="15" t="n">
        <x:f>B25-D25</x:f>
        <x:v>16.47165057331997</x:v>
      </x:c>
      <x:c r="F25" s="2"/>
      <x:c r="G25" s="2"/>
    </x:row>
    <x:row r="26" ht="23" customHeight="1">
      <x:c r="A26" s="2" t="str">
        <x:v>盛新锂能</x:v>
      </x:c>
      <x:c r="B26" s="15" t="n">
        <x:f>集团利润!O22</x:f>
        <x:v>10.596198032079647</x:v>
      </x:c>
      <x:c r="C26" s="15" t="n">
        <x:v>1</x:v>
      </x:c>
      <x:c r="D26" s="15" t="n">
        <x:f>C26*(参数与事实!J29*参数与事实!C29*(1-参数与事实!G29)+参数与事实!J30*参数与事实!C30*(1-参数与事实!G30)+参数与事实!J31*参数与事实!C31*(1-参数与事实!G31))</x:f>
        <x:v>3.0591250000000003</x:v>
      </x:c>
      <x:c r="E26" s="15" t="n">
        <x:f>B26-D26</x:f>
        <x:v>7.537073032079647</x:v>
      </x:c>
      <x:c r="F26" s="2"/>
      <x:c r="G26" s="2"/>
    </x:row>
    <x:row r="27" ht="23" customHeight="1">
      <x:c r="A27" s="2" t="str">
        <x:v>赣锋锂业</x:v>
      </x:c>
      <x:c r="B27" s="15" t="n">
        <x:f>集团利润!O34</x:f>
        <x:v>44.93893066371682</x:v>
      </x:c>
      <x:c r="C27" s="15" t="n">
        <x:v>1</x:v>
      </x:c>
      <x:c r="D27" s="15" t="n">
        <x:f>C27*(参数与事实!J32*参数与事实!C32*(1-参数与事实!G32)+参数与事实!J33*参数与事实!C33*(1-参数与事实!G33)+参数与事实!J34*参数与事实!C34*(1-参数与事实!G34)+参数与事实!J35*参数与事实!C35*(1-参数与事实!G35)+参数与事实!J36*参数与事实!C36*(1-参数与事实!G36)+参数与事实!J37*参数与事实!C37*(1-参数与事实!G37)+参数与事实!J38*参数与事实!C38*(1-参数与事实!G38)+参数与事实!J39*参数与事实!C39*(1-参数与事实!G39))</x:f>
        <x:v>8.779777499999998</x:v>
      </x:c>
      <x:c r="E27" s="15" t="n">
        <x:f>B27-D27</x:f>
        <x:v>36.15915316371682</x:v>
      </x:c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  <x:row r="29" ht="30" customHeight="1">
      <x:c r="A29" s="28" t="str">
        <x:v>怎么看模型</x:v>
      </x:c>
      <x:c r="B29" s="28"/>
      <x:c r="C29" s="28"/>
      <x:c r="D29" s="28"/>
      <x:c r="E29" s="28"/>
      <x:c r="F29" s="28"/>
      <x:c r="G29" s="28"/>
    </x:row>
    <x:row r="30" ht="42" customHeight="1">
      <x:c r="A30" s="8" t="str">
        <x:v>1. 自有矿权益量 ≠ 包销量 ≠ 锂盐加工产能。雅化李家沟按27.94%矿山权益；赣锋Cauchari按46.67%，不按76%包销比例。</x:v>
      </x:c>
      <x:c r="B30" s="8"/>
      <x:c r="C30" s="8"/>
      <x:c r="D30" s="8"/>
      <x:c r="E30" s="8"/>
      <x:c r="F30" s="8"/>
      <x:c r="G30" s="8"/>
    </x:row>
    <x:row r="31" ht="42" customHeight="1">
      <x:c r="A31" s="8" t="str">
        <x:v>2. 木绒2030年前后达产，2027–2029基础盘不计；Nigeria50万吨为选矿厂，不自动计入便宜自产矿。</x:v>
      </x:c>
      <x:c r="B31" s="8"/>
      <x:c r="C31" s="8"/>
      <x:c r="D31" s="8"/>
      <x:c r="E31" s="8"/>
      <x:c r="F31" s="8"/>
      <x:c r="G31" s="8"/>
    </x:row>
    <x:row r="32" ht="42" customHeight="1">
      <x:c r="A32" s="8" t="str">
        <x:v>3. Cauchari二期仅纳入2028部分首模块、2029首1万吨；Goulamina二期、PPGS、Sonora不计。</x:v>
      </x:c>
      <x:c r="B32" s="8"/>
      <x:c r="C32" s="8"/>
      <x:c r="D32" s="8"/>
      <x:c r="E32" s="8"/>
      <x:c r="F32" s="8"/>
      <x:c r="G32" s="8"/>
    </x:row>
    <x:row r="33" ht="42" customHeight="1">
      <x:c r="A33" s="8" t="str">
        <x:v>4. 完全成本与未来产量多未披露：精确到小数是计算结果，不代表预测精度。合理使用时应重点修改蓝色成本、量与费用参数。</x:v>
      </x:c>
      <x:c r="B33" s="8"/>
      <x:c r="C33" s="8"/>
      <x:c r="D33" s="8"/>
      <x:c r="E33" s="8"/>
      <x:c r="F33" s="8"/>
      <x:c r="G33" s="8"/>
    </x:row>
    <x:row r="34" ht="42" customHeight="1">
      <x:c r="A34" s="8" t="str">
        <x:v>5. 矿端税费、国内VAT和企业所得税分层计算；没有直接给所有公司利润乘85%或75%。</x:v>
      </x:c>
      <x:c r="B34" s="8"/>
      <x:c r="C34" s="8"/>
      <x:c r="D34" s="8"/>
      <x:c r="E34" s="8"/>
      <x:c r="F34" s="8"/>
      <x:c r="G34" s="8"/>
    </x:row>
    <x:row r="35" ht="42" customHeight="1">
      <x:c r="A35" s="8" t="str">
        <x:v>6. 低价情景不提前确认亏损抵税；不预测套保、公允价值、汇兑、减值转回和政府补助，不是净现金流或投资收益率。</x:v>
      </x:c>
      <x:c r="B35" s="8"/>
      <x:c r="C35" s="8"/>
      <x:c r="D35" s="8"/>
      <x:c r="E35" s="8"/>
      <x:c r="F35" s="8"/>
      <x:c r="G35" s="8"/>
    </x:row>
    <x:row r="36" ht="42" customHeight="1">
      <x:c r="A36" s="8" t="str">
        <x:v>7. 部分地区实际税基、所得税优惠与跨境分红预提税需后续验证；综合矿端税费为估算，不能作为法律税务意见。</x:v>
      </x:c>
      <x:c r="B36" s="8"/>
      <x:c r="C36" s="8"/>
      <x:c r="D36" s="8"/>
      <x:c r="E36" s="8"/>
      <x:c r="F36" s="8"/>
      <x:c r="G36" s="8"/>
    </x:row>
    <x:row r="37" ht="42" customHeight="1">
      <x:c r="A37" s="8" t="str">
        <x:v>8. 本表是条件化归母模型，不是公司盈利承诺、券商一致预期或锂价走势判断。</x:v>
      </x:c>
      <x:c r="B37" s="8"/>
      <x:c r="C37" s="8"/>
      <x:c r="D37" s="8"/>
      <x:c r="E37" s="8"/>
      <x:c r="F37" s="8"/>
      <x:c r="G37" s="8"/>
    </x:row>
    <x:row r="38" ht="23" customHeight="1">
      <x:c r="A38" s="2"/>
      <x:c r="B38" s="2"/>
      <x:c r="C38" s="2"/>
      <x:c r="D38" s="2"/>
      <x:c r="E38" s="2"/>
      <x:c r="F38" s="2"/>
      <x:c r="G38" s="2"/>
    </x:row>
    <x:row r="39" ht="42" customHeight="1">
      <x:c r="A39" s="30" t="str">
        <x:v>使用：在“参数与事实”修改E5:H5价格或蓝字参数；公式自动更新。先确认价格是含税年均价，再修改产量与成本。</x:v>
      </x:c>
      <x:c r="B39" s="30"/>
      <x:c r="C39" s="30"/>
      <x:c r="D39" s="30"/>
      <x:c r="E39" s="30"/>
      <x:c r="F39" s="30"/>
      <x:c r="G39" s="30"/>
    </x:row>
    <x:row r="40" ht="23" customHeight="1">
      <x:c r="A40" s="2"/>
      <x:c r="B40" s="2"/>
      <x:c r="C40" s="2"/>
      <x:c r="D40" s="2"/>
      <x:c r="E40" s="2"/>
      <x:c r="F40" s="2"/>
      <x:c r="G40" s="2"/>
    </x:row>
    <x:row r="41" ht="23" customHeight="1">
      <x:c r="A41" s="2"/>
      <x:c r="B41" s="2"/>
      <x:c r="C41" s="2"/>
      <x:c r="D41" s="2"/>
      <x:c r="E41" s="2"/>
      <x:c r="F41" s="2"/>
      <x:c r="G41" s="2"/>
    </x:row>
    <x:row r="42" ht="23" customHeight="1">
      <x:c r="A42" s="2"/>
      <x:c r="B42" s="2"/>
      <x:c r="C42" s="2"/>
      <x:c r="D42" s="2"/>
      <x:c r="E42" s="2"/>
      <x:c r="F42" s="2"/>
      <x:c r="G42" s="2"/>
    </x:row>
    <x:row r="43" ht="23" customHeight="1">
      <x:c r="A43" s="2"/>
      <x:c r="B43" s="2"/>
      <x:c r="C43" s="2"/>
      <x:c r="D43" s="2"/>
      <x:c r="E43" s="2"/>
      <x:c r="F43" s="2"/>
      <x:c r="G43" s="2"/>
    </x:row>
    <x:row r="44" ht="23" customHeight="1">
      <x:c r="A44" s="2"/>
      <x:c r="B44" s="2"/>
      <x:c r="C44" s="2"/>
      <x:c r="D44" s="2"/>
      <x:c r="E44" s="2"/>
      <x:c r="F44" s="2"/>
      <x:c r="G44" s="2"/>
    </x:row>
    <x:row r="45" ht="23" customHeight="1">
      <x:c r="A45" s="2"/>
      <x:c r="B45" s="2"/>
      <x:c r="C45" s="2"/>
      <x:c r="D45" s="2"/>
      <x:c r="E45" s="2"/>
      <x:c r="F45" s="2"/>
      <x:c r="G45" s="2"/>
    </x:row>
    <x:row r="46" ht="23" customHeight="1">
      <x:c r="A46" s="2"/>
      <x:c r="B46" s="2"/>
      <x:c r="C46" s="2"/>
      <x:c r="D46" s="2"/>
      <x:c r="E46" s="2"/>
      <x:c r="F46" s="2"/>
      <x:c r="G46" s="2"/>
    </x:row>
    <x:row r="47" ht="23" customHeight="1">
      <x:c r="A47" s="2"/>
      <x:c r="B47" s="2"/>
      <x:c r="C47" s="2"/>
      <x:c r="D47" s="2"/>
      <x:c r="E47" s="2"/>
      <x:c r="F47" s="2"/>
      <x:c r="G47" s="2"/>
    </x:row>
    <x:row r="48" ht="23" customHeight="1">
      <x:c r="A48" s="2"/>
      <x:c r="B48" s="2"/>
      <x:c r="C48" s="2"/>
      <x:c r="D48" s="2"/>
      <x:c r="E48" s="2"/>
      <x:c r="F48" s="2"/>
      <x:c r="G48" s="2"/>
    </x:row>
    <x:row r="49" ht="23" customHeight="1">
      <x:c r="A49" s="2"/>
      <x:c r="B49" s="2"/>
      <x:c r="C49" s="2"/>
      <x:c r="D49" s="2"/>
      <x:c r="E49" s="2"/>
      <x:c r="F49" s="2"/>
      <x:c r="G49" s="2"/>
    </x:row>
  </x:sheetData>
  <x:mergeCells>
    <x:mergeCell ref="A1:G2"/>
    <x:mergeCell ref="A3:G3"/>
    <x:mergeCell ref="A15:G15"/>
    <x:mergeCell ref="A17:G17"/>
    <x:mergeCell ref="A23:G23"/>
    <x:mergeCell ref="A29:G29"/>
    <x:mergeCell ref="A30:G30"/>
    <x:mergeCell ref="A31:G31"/>
    <x:mergeCell ref="A32:G32"/>
    <x:mergeCell ref="A33:G33"/>
    <x:mergeCell ref="A34:G34"/>
    <x:mergeCell ref="A35:G35"/>
    <x:mergeCell ref="A36:G36"/>
    <x:mergeCell ref="A37:G37"/>
    <x:mergeCell ref="A39:G39"/>
  </x:mergeCells>
  <x:conditionalFormatting sqref="C5:F13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9" hidden="0" customWidth="1"/>
    <x:col min="10" max="10" width="14" hidden="0" customWidth="1"/>
    <x:col min="11" max="11" width="20" hidden="0" customWidth="1"/>
    <x:col min="12" max="12" width="14" hidden="0" customWidth="1"/>
    <x:col min="13" max="13" width="14" hidden="0" customWidth="1"/>
    <x:col min="14" max="14" width="14" hidden="0" customWidth="1"/>
    <x:col min="15" max="15" width="39" hidden="0" customWidth="1"/>
    <x:col min="16" max="16" width="63" hidden="0" customWidth="1"/>
  </x:cols>
  <x:sheetData>
    <x:row r="1" ht="23" customHeight="1">
      <x:c r="A1" s="4" t="str">
        <x:v>可调参数与已披露事实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3" customHeight="1">
      <x:c r="A3" s="2" t="str">
        <x:v>蓝字=可编辑假设；黑字=披露事实；绿字=跨表/推导。模型量与单矿成本多为估算，勿当公司指引。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34" customHeight="1">
      <x:c r="A4" s="7" t="str">
        <x:v>全局参数</x:v>
      </x:c>
      <x:c r="B4" s="7" t="str">
        <x:v>数值</x:v>
      </x:c>
      <x:c r="C4" s="7" t="str">
        <x:v>单位</x:v>
      </x:c>
      <x:c r="D4" s="7" t="str">
        <x:v>定义</x:v>
      </x:c>
      <x:c r="E4" s="7" t="str">
        <x:v>价格情景1</x:v>
      </x:c>
      <x:c r="F4" s="7" t="str">
        <x:v>价格情景2</x:v>
      </x:c>
      <x:c r="G4" s="7" t="str">
        <x:v>价格情景3</x:v>
      </x:c>
      <x:c r="H4" s="7" t="str">
        <x:v>价格情景4</x:v>
      </x:c>
      <x:c r="I4" s="7"/>
      <x:c r="J4" s="7"/>
      <x:c r="K4" s="7"/>
      <x:c r="L4" s="7"/>
      <x:c r="M4" s="7"/>
      <x:c r="N4" s="7"/>
      <x:c r="O4" s="7"/>
      <x:c r="P4" s="7"/>
    </x:row>
    <x:row r="5" ht="23" customHeight="1">
      <x:c r="A5" s="2" t="str">
        <x:v>国内销项增值税</x:v>
      </x:c>
      <x:c r="B5" s="10" t="n">
        <x:v>0.13</x:v>
      </x:c>
      <x:c r="C5" s="2" t="str">
        <x:v>%</x:v>
      </x:c>
      <x:c r="D5" s="2" t="str">
        <x:v>含税价格转不含税收入；进项抵扣不作为额外利润成本重复扣除</x:v>
      </x:c>
      <x:c r="E5" s="9" t="n">
        <x:v>10</x:v>
      </x:c>
      <x:c r="F5" s="9" t="n">
        <x:v>15</x:v>
      </x:c>
      <x:c r="G5" s="9" t="n">
        <x:v>20</x:v>
      </x:c>
      <x:c r="H5" s="9" t="n">
        <x:v>30</x:v>
      </x:c>
      <x:c r="I5" s="2"/>
      <x:c r="J5" s="2"/>
      <x:c r="K5" s="2"/>
      <x:c r="L5" s="2"/>
      <x:c r="M5" s="2"/>
      <x:c r="N5" s="2"/>
      <x:c r="O5" s="2"/>
      <x:c r="P5" s="2"/>
    </x:row>
    <x:row r="6" ht="23" customHeight="1">
      <x:c r="A6" s="2" t="str">
        <x:v>美元兑人民币</x:v>
      </x:c>
      <x:c r="B6" s="9" t="n">
        <x:v>7.1</x:v>
      </x:c>
      <x:c r="C6" s="2" t="str">
        <x:v>元/USD</x:v>
      </x:c>
      <x:c r="D6" s="2" t="str">
        <x:v>成本换算参考假设；不是即期汇率报价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3" customHeight="1">
      <x:c r="A7" s="2" t="str">
        <x:v>矿价净回值系数</x:v>
      </x:c>
      <x:c r="B7" s="10" t="n">
        <x:v>0.9</x:v>
      </x:c>
      <x:c r="C7" s="2" t="str">
        <x:v>%</x:v>
      </x:c>
      <x:c r="D7" s="2" t="str">
        <x:v>单位原料市场成本=MAX(矿价下限,净锂价×系数−加工成本)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3" customHeight="1">
      <x:c r="A8" s="2" t="str">
        <x:v>原料成本下限</x:v>
      </x:c>
      <x:c r="B8" s="9" t="n">
        <x:v>3.5</x:v>
      </x:c>
      <x:c r="C8" s="2" t="str">
        <x:v>万元/吨LCE</x:v>
      </x:c>
      <x:c r="D8" s="2" t="str">
        <x:v>四档价情景的长期净回值假设，不是今日现货锂精矿报价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3" customHeight="1">
      <x:c r="A9" s="2" t="str">
        <x:v>矿端成本上浮</x:v>
      </x:c>
      <x:c r="B9" s="9" t="n">
        <x:v>0</x:v>
      </x:c>
      <x:c r="C9" s="2" t="str">
        <x:v>万元/吨LCE</x:v>
      </x:c>
      <x:c r="D9" s="2" t="str">
        <x:v>用于检查或自行调整；直接作用全部矿/盐湖固定单位成本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3" customHeight="1">
      <x:c r="A10" s="2" t="str">
        <x:v>锂盐加工成本</x:v>
      </x:c>
      <x:c r="B10" s="9" t="n">
        <x:v>2.2</x:v>
      </x:c>
      <x:c r="C10" s="2" t="str">
        <x:v>万元/吨LCE</x:v>
      </x:c>
      <x:c r="D10" s="2" t="str">
        <x:v>炼化、能耗、折旧、厂端费用；不含公司期间费用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3" customHeight="1">
      <x:c r="A11" s="2" t="str">
        <x:v>亏损即时税收抵扣</x:v>
      </x:c>
      <x:c r="B11" s="2" t="n">
        <x:v>0</x:v>
      </x:c>
      <x:c r="C11" s="2" t="str">
        <x:v>开关</x:v>
      </x:c>
      <x:c r="D11" s="2" t="str">
        <x:v>固定为0：不提前确认亏损递延所得税收益；本模型不提供开关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3" customHeight="1">
      <x:c r="A13" s="2" t="str">
        <x:v>集团假设｜销量已统一折LCE；期间费用为税前，其他利润已税后归母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0" customHeight="1">
      <x:c r="A14" s="12" t="str">
        <x:v>公司</x:v>
      </x:c>
      <x:c r="B14" s="12" t="str">
        <x:v>年度</x:v>
      </x:c>
      <x:c r="C14" s="12" t="str">
        <x:v>锂盐销量</x:v>
      </x:c>
      <x:c r="D14" s="12" t="str">
        <x:v>期间费用</x:v>
      </x:c>
      <x:c r="E14" s="12" t="str">
        <x:v>其他净利润</x:v>
      </x:c>
      <x:c r="F14" s="12" t="str">
        <x:v>实现价系数</x:v>
      </x:c>
      <x:c r="G14" s="12" t="str">
        <x:v>炼化归母比例</x:v>
      </x:c>
      <x:c r="H14" s="12" t="str">
        <x:v>炼化所得税</x:v>
      </x:c>
      <x:c r="I14" s="12" t="str">
        <x:v>假设说明</x:v>
      </x:c>
      <x:c r="J14" s="12" t="str"/>
      <x:c r="K14" s="12" t="str">
        <x:v>来源</x:v>
      </x:c>
      <x:c r="L14" s="2"/>
      <x:c r="M14" s="2"/>
      <x:c r="N14" s="2"/>
      <x:c r="O14" s="2"/>
      <x:c r="P14" s="2"/>
    </x:row>
    <x:row r="15" ht="56" customHeight="1">
      <x:c r="A15" s="2" t="str">
        <x:v>雅化集团</x:v>
      </x:c>
      <x:c r="B15" s="2" t="n">
        <x:v>2027</x:v>
      </x:c>
      <x:c r="C15" s="13" t="n">
        <x:v>9.5</x:v>
      </x:c>
      <x:c r="D15" s="13" t="n">
        <x:v>4.5</x:v>
      </x:c>
      <x:c r="E15" s="13" t="n">
        <x:v>4</x:v>
      </x:c>
      <x:c r="F15" s="10" t="n">
        <x:v>0.95</x:v>
      </x:c>
      <x:c r="G15" s="10" t="n">
        <x:v>0.95</x:v>
      </x:c>
      <x:c r="H15" s="10" t="n">
        <x:v>0.15</x:v>
      </x:c>
      <x:c r="I15" s="8" t="str">
        <x:v>销量折为LCE；民爆/运输贡献为税后归母估算；集团费用已避免重复计入矿山成本。</x:v>
      </x:c>
      <x:c r="J15" s="2"/>
      <x:c r="K15" s="2" t="str">
        <x:v>https://static.cninfo.com.cn/finalpage/2026-08-26/1225504935.PDF</x:v>
      </x:c>
      <x:c r="L15" s="2"/>
      <x:c r="M15" s="2"/>
      <x:c r="N15" s="2"/>
      <x:c r="O15" s="2"/>
      <x:c r="P15" s="2"/>
    </x:row>
    <x:row r="16" ht="56" customHeight="1">
      <x:c r="A16" s="2" t="str">
        <x:v>雅化集团</x:v>
      </x:c>
      <x:c r="B16" s="2" t="n">
        <x:v>2028</x:v>
      </x:c>
      <x:c r="C16" s="13" t="n">
        <x:v>10</x:v>
      </x:c>
      <x:c r="D16" s="13" t="n">
        <x:v>4.6</x:v>
      </x:c>
      <x:c r="E16" s="13" t="n">
        <x:v>4.2</x:v>
      </x:c>
      <x:c r="F16" s="10" t="n">
        <x:v>0.95</x:v>
      </x:c>
      <x:c r="G16" s="10" t="n">
        <x:v>0.95</x:v>
      </x:c>
      <x:c r="H16" s="10" t="n">
        <x:v>0.15</x:v>
      </x:c>
      <x:c r="I16" s="8" t="str">
        <x:v>销量折为LCE；民爆/运输贡献为税后归母估算；集团费用已避免重复计入矿山成本。</x:v>
      </x:c>
      <x:c r="J16" s="2"/>
      <x:c r="K16" s="2" t="str">
        <x:v>https://static.cninfo.com.cn/finalpage/2026-08-26/1225504935.PDF</x:v>
      </x:c>
      <x:c r="L16" s="2"/>
      <x:c r="M16" s="2"/>
      <x:c r="N16" s="2"/>
      <x:c r="O16" s="2"/>
      <x:c r="P16" s="2"/>
    </x:row>
    <x:row r="17" ht="56" customHeight="1">
      <x:c r="A17" s="2" t="str">
        <x:v>雅化集团</x:v>
      </x:c>
      <x:c r="B17" s="2" t="n">
        <x:v>2029</x:v>
      </x:c>
      <x:c r="C17" s="13" t="n">
        <x:v>10.3</x:v>
      </x:c>
      <x:c r="D17" s="13" t="n">
        <x:v>4.8</x:v>
      </x:c>
      <x:c r="E17" s="13" t="n">
        <x:v>4.4</x:v>
      </x:c>
      <x:c r="F17" s="10" t="n">
        <x:v>0.95</x:v>
      </x:c>
      <x:c r="G17" s="10" t="n">
        <x:v>0.95</x:v>
      </x:c>
      <x:c r="H17" s="10" t="n">
        <x:v>0.15</x:v>
      </x:c>
      <x:c r="I17" s="8" t="str">
        <x:v>销量折为LCE；民爆/运输贡献为税后归母估算；集团费用已避免重复计入矿山成本。</x:v>
      </x:c>
      <x:c r="J17" s="2"/>
      <x:c r="K17" s="2" t="str">
        <x:v>https://static.cninfo.com.cn/finalpage/2026-08-26/1225504935.PDF</x:v>
      </x:c>
      <x:c r="L17" s="2"/>
      <x:c r="M17" s="2"/>
      <x:c r="N17" s="2"/>
      <x:c r="O17" s="2"/>
      <x:c r="P17" s="2"/>
    </x:row>
    <x:row r="18" ht="56" customHeight="1">
      <x:c r="A18" s="2" t="str">
        <x:v>盛新锂能</x:v>
      </x:c>
      <x:c r="B18" s="2" t="n">
        <x:v>2027</x:v>
      </x:c>
      <x:c r="C18" s="13" t="n">
        <x:v>10.5</x:v>
      </x:c>
      <x:c r="D18" s="13" t="n">
        <x:v>12</x:v>
      </x:c>
      <x:c r="E18" s="13" t="n">
        <x:v>0</x:v>
      </x:c>
      <x:c r="F18" s="10" t="n">
        <x:v>0.95</x:v>
      </x:c>
      <x:c r="G18" s="10" t="n">
        <x:v>0.92</x:v>
      </x:c>
      <x:c r="H18" s="10" t="n">
        <x:v>0.18</x:v>
      </x:c>
      <x:c r="I18" s="8" t="str">
        <x:v>印尼80%股权折算炼化综合归母比例；费用含利息及项目投入；木绒/Nigeria利润不进基础盘。</x:v>
      </x:c>
      <x:c r="J18" s="2"/>
      <x:c r="K18" s="2" t="str">
        <x:v>https://static.cninfo.com.cn/finalpage/2026-08-25/1225496204.PDF</x:v>
      </x:c>
      <x:c r="L18" s="2"/>
      <x:c r="M18" s="2"/>
      <x:c r="N18" s="2"/>
      <x:c r="O18" s="2"/>
      <x:c r="P18" s="2"/>
    </x:row>
    <x:row r="19" ht="56" customHeight="1">
      <x:c r="A19" s="2" t="str">
        <x:v>盛新锂能</x:v>
      </x:c>
      <x:c r="B19" s="2" t="n">
        <x:v>2028</x:v>
      </x:c>
      <x:c r="C19" s="13" t="n">
        <x:v>11</x:v>
      </x:c>
      <x:c r="D19" s="13" t="n">
        <x:v>13</x:v>
      </x:c>
      <x:c r="E19" s="13" t="n">
        <x:v>0</x:v>
      </x:c>
      <x:c r="F19" s="10" t="n">
        <x:v>0.95</x:v>
      </x:c>
      <x:c r="G19" s="10" t="n">
        <x:v>0.92</x:v>
      </x:c>
      <x:c r="H19" s="10" t="n">
        <x:v>0.18</x:v>
      </x:c>
      <x:c r="I19" s="8" t="str">
        <x:v>印尼80%股权折算炼化综合归母比例；费用含利息及项目投入；木绒/Nigeria利润不进基础盘。</x:v>
      </x:c>
      <x:c r="J19" s="2"/>
      <x:c r="K19" s="2" t="str">
        <x:v>https://static.cninfo.com.cn/finalpage/2026-08-25/1225496204.PDF</x:v>
      </x:c>
      <x:c r="L19" s="2"/>
      <x:c r="M19" s="2"/>
      <x:c r="N19" s="2"/>
      <x:c r="O19" s="2"/>
      <x:c r="P19" s="2"/>
    </x:row>
    <x:row r="20" ht="56" customHeight="1">
      <x:c r="A20" s="2" t="str">
        <x:v>盛新锂能</x:v>
      </x:c>
      <x:c r="B20" s="2" t="n">
        <x:v>2029</x:v>
      </x:c>
      <x:c r="C20" s="13" t="n">
        <x:v>11.3</x:v>
      </x:c>
      <x:c r="D20" s="13" t="n">
        <x:v>14</x:v>
      </x:c>
      <x:c r="E20" s="13" t="n">
        <x:v>0</x:v>
      </x:c>
      <x:c r="F20" s="10" t="n">
        <x:v>0.95</x:v>
      </x:c>
      <x:c r="G20" s="10" t="n">
        <x:v>0.92</x:v>
      </x:c>
      <x:c r="H20" s="10" t="n">
        <x:v>0.18</x:v>
      </x:c>
      <x:c r="I20" s="8" t="str">
        <x:v>印尼80%股权折算炼化综合归母比例；费用含利息及项目投入；木绒/Nigeria利润不进基础盘。</x:v>
      </x:c>
      <x:c r="J20" s="2"/>
      <x:c r="K20" s="2" t="str">
        <x:v>https://static.cninfo.com.cn/finalpage/2026-08-25/1225496204.PDF</x:v>
      </x:c>
      <x:c r="L20" s="2"/>
      <x:c r="M20" s="2"/>
      <x:c r="N20" s="2"/>
      <x:c r="O20" s="2"/>
      <x:c r="P20" s="2"/>
    </x:row>
    <x:row r="21" ht="56" customHeight="1">
      <x:c r="A21" s="2" t="str">
        <x:v>赣锋锂业</x:v>
      </x:c>
      <x:c r="B21" s="2" t="n">
        <x:v>2027</x:v>
      </x:c>
      <x:c r="C21" s="13" t="n">
        <x:v>14.5</x:v>
      </x:c>
      <x:c r="D21" s="13" t="n">
        <x:v>26</x:v>
      </x:c>
      <x:c r="E21" s="13" t="n">
        <x:v>5</x:v>
      </x:c>
      <x:c r="F21" s="10" t="n">
        <x:v>0.98</x:v>
      </x:c>
      <x:c r="G21" s="10" t="n">
        <x:v>1</x:v>
      </x:c>
      <x:c r="H21" s="10" t="n">
        <x:v>0.15</x:v>
      </x:c>
      <x:c r="I21" s="8" t="str">
        <x:v>国内锂化工量不含盐湖直接产品，避免重复计算；其他贡献为电池/回收等净利润估算，不含股票处置收益。</x:v>
      </x:c>
      <x:c r="J21" s="2"/>
      <x:c r="K21" s="2" t="str">
        <x:v>https://static.cninfo.com.cn/finalpage/2026-08-29/1225528829.PDF</x:v>
      </x:c>
      <x:c r="L21" s="2"/>
      <x:c r="M21" s="2"/>
      <x:c r="N21" s="2"/>
      <x:c r="O21" s="2"/>
      <x:c r="P21" s="2"/>
    </x:row>
    <x:row r="22" ht="56" customHeight="1">
      <x:c r="A22" s="2" t="str">
        <x:v>赣锋锂业</x:v>
      </x:c>
      <x:c r="B22" s="2" t="n">
        <x:v>2028</x:v>
      </x:c>
      <x:c r="C22" s="13" t="n">
        <x:v>15.5</x:v>
      </x:c>
      <x:c r="D22" s="13" t="n">
        <x:v>28</x:v>
      </x:c>
      <x:c r="E22" s="13" t="n">
        <x:v>7</x:v>
      </x:c>
      <x:c r="F22" s="10" t="n">
        <x:v>0.98</x:v>
      </x:c>
      <x:c r="G22" s="10" t="n">
        <x:v>1</x:v>
      </x:c>
      <x:c r="H22" s="10" t="n">
        <x:v>0.15</x:v>
      </x:c>
      <x:c r="I22" s="8" t="str">
        <x:v>国内锂化工量不含盐湖直接产品，避免重复计算；其他贡献为电池/回收等净利润估算，不含股票处置收益。</x:v>
      </x:c>
      <x:c r="J22" s="2"/>
      <x:c r="K22" s="2" t="str">
        <x:v>https://static.cninfo.com.cn/finalpage/2026-08-29/1225528829.PDF</x:v>
      </x:c>
      <x:c r="L22" s="2"/>
      <x:c r="M22" s="2"/>
      <x:c r="N22" s="2"/>
      <x:c r="O22" s="2"/>
      <x:c r="P22" s="2"/>
    </x:row>
    <x:row r="23" ht="56" customHeight="1">
      <x:c r="A23" s="2" t="str">
        <x:v>赣锋锂业</x:v>
      </x:c>
      <x:c r="B23" s="2" t="n">
        <x:v>2029</x:v>
      </x:c>
      <x:c r="C23" s="13" t="n">
        <x:v>16.5</x:v>
      </x:c>
      <x:c r="D23" s="13" t="n">
        <x:v>30</x:v>
      </x:c>
      <x:c r="E23" s="13" t="n">
        <x:v>9</x:v>
      </x:c>
      <x:c r="F23" s="10" t="n">
        <x:v>0.98</x:v>
      </x:c>
      <x:c r="G23" s="10" t="n">
        <x:v>1</x:v>
      </x:c>
      <x:c r="H23" s="10" t="n">
        <x:v>0.15</x:v>
      </x:c>
      <x:c r="I23" s="8" t="str">
        <x:v>国内锂化工量不含盐湖直接产品，避免重复计算；其他贡献为电池/回收等净利润估算，不含股票处置收益。</x:v>
      </x:c>
      <x:c r="J23" s="2"/>
      <x:c r="K23" s="2" t="str">
        <x:v>https://static.cninfo.com.cn/finalpage/2026-08-29/1225528829.PDF</x:v>
      </x:c>
      <x:c r="L23" s="2"/>
      <x:c r="M23" s="2"/>
      <x:c r="N23" s="2"/>
      <x:c r="O23" s="2"/>
      <x:c r="P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3" customHeight="1">
      <x:c r="A25" s="2" t="str">
        <x:v>项目假设｜量=项目100%有效产出，单位万吨LCE；固定成本不含另列价相关税费及所得税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46" customHeight="1">
      <x:c r="A26" s="12" t="str">
        <x:v>公司</x:v>
      </x:c>
      <x:c r="B26" s="12" t="str">
        <x:v>项目</x:v>
      </x:c>
      <x:c r="C26" s="12" t="str">
        <x:v>权益</x:v>
      </x:c>
      <x:c r="D26" s="12" t="str">
        <x:v>类型</x:v>
      </x:c>
      <x:c r="E26" s="12" t="str">
        <x:v>固定成本</x:v>
      </x:c>
      <x:c r="F26" s="12" t="str">
        <x:v>矿端税费</x:v>
      </x:c>
      <x:c r="G26" s="12" t="str">
        <x:v>所得税</x:v>
      </x:c>
      <x:c r="H26" s="12" t="str">
        <x:v>实现价系数</x:v>
      </x:c>
      <x:c r="I26" s="12" t="str">
        <x:v>2027产量</x:v>
      </x:c>
      <x:c r="J26" s="12" t="str">
        <x:v>2028产量</x:v>
      </x:c>
      <x:c r="K26" s="12" t="str">
        <x:v>2029产量</x:v>
      </x:c>
      <x:c r="L26" s="12" t="str">
        <x:v>2027额外税</x:v>
      </x:c>
      <x:c r="M26" s="12" t="str">
        <x:v>2028额外税</x:v>
      </x:c>
      <x:c r="N26" s="12" t="str">
        <x:v>2029额外税</x:v>
      </x:c>
      <x:c r="O26" s="12" t="str">
        <x:v>來源</x:v>
      </x:c>
      <x:c r="P26" s="12" t="str">
        <x:v>事实与假设说明</x:v>
      </x:c>
    </x:row>
    <x:row r="27" ht="73" customHeight="1">
      <x:c r="A27" s="2" t="str">
        <x:v>雅化集团</x:v>
      </x:c>
      <x:c r="B27" s="2" t="str">
        <x:v>卡玛蒂维</x:v>
      </x:c>
      <x:c r="C27" s="14" t="n">
        <x:v>0.68</x:v>
      </x:c>
      <x:c r="D27" s="2" t="str">
        <x:v>矿</x:v>
      </x:c>
      <x:c r="E27" s="13" t="n">
        <x:v>3.3</x:v>
      </x:c>
      <x:c r="F27" s="10" t="n">
        <x:v>0.1</x:v>
      </x:c>
      <x:c r="G27" s="10" t="n">
        <x:v>0.25</x:v>
      </x:c>
      <x:c r="H27" s="10" t="n">
        <x:v>1</x:v>
      </x:c>
      <x:c r="I27" s="18" t="n">
        <x:v>3.2</x:v>
      </x:c>
      <x:c r="J27" s="18" t="n">
        <x:v>3.65</x:v>
      </x:c>
      <x:c r="K27" s="18" t="n">
        <x:v>3.65</x:v>
      </x:c>
      <x:c r="L27" s="10" t="n">
        <x:v>0.05</x:v>
      </x:c>
      <x:c r="M27" s="10" t="n">
        <x:v>0</x:v>
      </x:c>
      <x:c r="N27" s="10" t="n">
        <x:v>0</x:v>
      </x:c>
      <x:c r="O27" s="8" t="str">
        <x:v>https://static.cninfo.com.cn/finalpage/2026-08-26/1225504935.PDF</x:v>
      </x:c>
      <x:c r="P27" s="8" t="str">
        <x:v>35万吨精矿；折LCE与成本为估算；10%综合矿端税费及2027额外5%出口缓冲为假设，非实际税率保证。</x:v>
      </x:c>
    </x:row>
    <x:row r="28" ht="73" customHeight="1">
      <x:c r="A28" s="2" t="str">
        <x:v>雅化集团</x:v>
      </x:c>
      <x:c r="B28" s="2" t="str">
        <x:v>李家沟</x:v>
      </x:c>
      <x:c r="C28" s="14" t="n">
        <x:v>0.279375</x:v>
      </x:c>
      <x:c r="D28" s="2" t="str">
        <x:v>矿</x:v>
      </x:c>
      <x:c r="E28" s="13" t="n">
        <x:v>2.7</x:v>
      </x:c>
      <x:c r="F28" s="10" t="n">
        <x:v>0.045</x:v>
      </x:c>
      <x:c r="G28" s="10" t="n">
        <x:v>0.15</x:v>
      </x:c>
      <x:c r="H28" s="10" t="n">
        <x:v>1</x:v>
      </x:c>
      <x:c r="I28" s="18" t="n">
        <x:v>1.8</x:v>
      </x:c>
      <x:c r="J28" s="18" t="n">
        <x:v>1.875</x:v>
      </x:c>
      <x:c r="K28" s="18" t="n">
        <x:v>1.875</x:v>
      </x:c>
      <x:c r="L28" s="10" t="n">
        <x:v>0</x:v>
      </x:c>
      <x:c r="M28" s="10" t="n">
        <x:v>0</x:v>
      </x:c>
      <x:c r="N28" s="10" t="n">
        <x:v>0</x:v>
      </x:c>
      <x:c r="O28" s="8" t="str">
        <x:v>https://static.cninfo.com.cn/finalpage/2026-08-25/1225496246.PDF</x:v>
      </x:c>
      <x:c r="P28" s="8" t="str">
        <x:v>37.25%能投锂业×75%德鑫=27.94%矿山权益；约15万吨SC6。成本/4.5%综合矿端税费为模型假设。</x:v>
      </x:c>
    </x:row>
    <x:row r="29" ht="73" customHeight="1">
      <x:c r="A29" s="2" t="str">
        <x:v>盛新锂能</x:v>
      </x:c>
      <x:c r="B29" s="2" t="str">
        <x:v>萨比星</x:v>
      </x:c>
      <x:c r="C29" s="14" t="n">
        <x:v>1</x:v>
      </x:c>
      <x:c r="D29" s="2" t="str">
        <x:v>矿</x:v>
      </x:c>
      <x:c r="E29" s="13" t="n">
        <x:v>3.5</x:v>
      </x:c>
      <x:c r="F29" s="10" t="n">
        <x:v>0.1</x:v>
      </x:c>
      <x:c r="G29" s="10" t="n">
        <x:v>0.25</x:v>
      </x:c>
      <x:c r="H29" s="10" t="n">
        <x:v>1</x:v>
      </x:c>
      <x:c r="I29" s="18" t="n">
        <x:v>3</x:v>
      </x:c>
      <x:c r="J29" s="18" t="n">
        <x:v>3.2</x:v>
      </x:c>
      <x:c r="K29" s="18" t="n">
        <x:v>3.2</x:v>
      </x:c>
      <x:c r="L29" s="10" t="n">
        <x:v>0.05</x:v>
      </x:c>
      <x:c r="M29" s="10" t="n">
        <x:v>0</x:v>
      </x:c>
      <x:c r="N29" s="10" t="n">
        <x:v>0</x:v>
      </x:c>
      <x:c r="O29" s="8" t="str">
        <x:v>https://static.cninfo.com.cn/finalpage/2026-08-25/1225496204.PDF</x:v>
      </x:c>
      <x:c r="P29" s="8" t="str">
        <x:v>29万吨精矿；年度有效产量和完全成本估算。2027额外税费缓冲并非确定出口时间。</x:v>
      </x:c>
    </x:row>
    <x:row r="30" ht="73" customHeight="1">
      <x:c r="A30" s="2" t="str">
        <x:v>盛新锂能</x:v>
      </x:c>
      <x:c r="B30" s="2" t="str">
        <x:v>业隆沟</x:v>
      </x:c>
      <x:c r="C30" s="14" t="n">
        <x:v>0.75</x:v>
      </x:c>
      <x:c r="D30" s="2" t="str">
        <x:v>矿</x:v>
      </x:c>
      <x:c r="E30" s="13" t="n">
        <x:v>3</x:v>
      </x:c>
      <x:c r="F30" s="10" t="n">
        <x:v>0.045</x:v>
      </x:c>
      <x:c r="G30" s="10" t="n">
        <x:v>0.15</x:v>
      </x:c>
      <x:c r="H30" s="10" t="n">
        <x:v>1</x:v>
      </x:c>
      <x:c r="I30" s="18" t="n">
        <x:v>0.8</x:v>
      </x:c>
      <x:c r="J30" s="18" t="n">
        <x:v>0.83</x:v>
      </x:c>
      <x:c r="K30" s="18" t="n">
        <x:v>0.83</x:v>
      </x:c>
      <x:c r="L30" s="10" t="n">
        <x:v>0</x:v>
      </x:c>
      <x:c r="M30" s="10" t="n">
        <x:v>0</x:v>
      </x:c>
      <x:c r="N30" s="10" t="n">
        <x:v>0</x:v>
      </x:c>
      <x:c r="O30" s="8" t="str">
        <x:v>https://static.cninfo.com.cn/finalpage/2026-08-25/1225496204.PDF</x:v>
      </x:c>
      <x:c r="P30" s="8" t="str">
        <x:v>7.5万吨精矿；75%股权；折LCE、成本、矿端税费为假设。</x:v>
      </x:c>
    </x:row>
    <x:row r="31" ht="73" customHeight="1">
      <x:c r="A31" s="2" t="str">
        <x:v>盛新锂能</x:v>
      </x:c>
      <x:c r="B31" s="2" t="str">
        <x:v>SDLA</x:v>
      </x:c>
      <x:c r="C31" s="14" t="n">
        <x:v>1</x:v>
      </x:c>
      <x:c r="D31" s="2" t="str">
        <x:v>盐湖</x:v>
      </x:c>
      <x:c r="E31" s="13" t="n">
        <x:v>5.4</x:v>
      </x:c>
      <x:c r="F31" s="10" t="n">
        <x:v>0.03</x:v>
      </x:c>
      <x:c r="G31" s="10" t="n">
        <x:v>0.35</x:v>
      </x:c>
      <x:c r="H31" s="10" t="n">
        <x:v>0.95</x:v>
      </x:c>
      <x:c r="I31" s="18" t="n">
        <x:v>0.18</x:v>
      </x:c>
      <x:c r="J31" s="18" t="n">
        <x:v>0.2</x:v>
      </x:c>
      <x:c r="K31" s="18" t="n">
        <x:v>0.2</x:v>
      </x:c>
      <x:c r="L31" s="10" t="n">
        <x:v>0</x:v>
      </x:c>
      <x:c r="M31" s="10" t="n">
        <x:v>0</x:v>
      </x:c>
      <x:c r="N31" s="10" t="n">
        <x:v>0</x:v>
      </x:c>
      <x:c r="O31" s="8" t="str">
        <x:v>https://static.cninfo.com.cn/finalpage/2026-08-25/1225496204.PDF</x:v>
      </x:c>
      <x:c r="P31" s="8" t="str">
        <x:v>独立运营权按经济贡献建模；名义2500吨LCE。税率取高档，成本和售价折扣未获项目实绩验证。</x:v>
      </x:c>
    </x:row>
    <x:row r="32" ht="73" customHeight="1">
      <x:c r="A32" s="2" t="str">
        <x:v>赣锋锂业</x:v>
      </x:c>
      <x:c r="B32" s="2" t="str">
        <x:v>Mt Marion</x:v>
      </x:c>
      <x:c r="C32" s="14" t="n">
        <x:v>0.5</x:v>
      </x:c>
      <x:c r="D32" s="2" t="str">
        <x:v>矿</x:v>
      </x:c>
      <x:c r="E32" s="13" t="n">
        <x:v>4.4</x:v>
      </x:c>
      <x:c r="F32" s="10" t="n">
        <x:v>0.05</x:v>
      </x:c>
      <x:c r="G32" s="10" t="n">
        <x:v>0.3</x:v>
      </x:c>
      <x:c r="H32" s="10" t="n">
        <x:v>1</x:v>
      </x:c>
      <x:c r="I32" s="18" t="n">
        <x:v>5.5</x:v>
      </x:c>
      <x:c r="J32" s="18" t="n">
        <x:v>6.5</x:v>
      </x:c>
      <x:c r="K32" s="18" t="n">
        <x:v>7</x:v>
      </x:c>
      <x:c r="L32" s="10" t="n">
        <x:v>0</x:v>
      </x:c>
      <x:c r="M32" s="10" t="n">
        <x:v>0</x:v>
      </x:c>
      <x:c r="N32" s="10" t="n">
        <x:v>0</x:v>
      </x:c>
      <x:c r="O32" s="8" t="str">
        <x:v>https://cdn.sanity.io/files/o6ep64o3/production/b872ab24beb44ee4ea68c64c7cd431ea4ce49c74.pdf</x:v>
      </x:c>
      <x:c r="P32" s="8" t="str">
        <x:v>FY26 FOB成本A$847/吨SC6，非US$847；模型到中国成本加折旧；升级设计60万吨SC6。</x:v>
      </x:c>
    </x:row>
    <x:row r="33" ht="73" customHeight="1">
      <x:c r="A33" s="2" t="str">
        <x:v>赣锋锂业</x:v>
      </x:c>
      <x:c r="B33" s="2" t="str">
        <x:v>Goulamina一期</x:v>
      </x:c>
      <x:c r="C33" s="14" t="n">
        <x:v>0.65</x:v>
      </x:c>
      <x:c r="D33" s="2" t="str">
        <x:v>矿</x:v>
      </x:c>
      <x:c r="E33" s="13" t="n">
        <x:v>3.5</x:v>
      </x:c>
      <x:c r="F33" s="10" t="n">
        <x:v>0.085</x:v>
      </x:c>
      <x:c r="G33" s="10" t="n">
        <x:v>0.25</x:v>
      </x:c>
      <x:c r="H33" s="10" t="n">
        <x:v>1</x:v>
      </x:c>
      <x:c r="I33" s="18" t="n">
        <x:v>6</x:v>
      </x:c>
      <x:c r="J33" s="18" t="n">
        <x:v>6.3</x:v>
      </x:c>
      <x:c r="K33" s="18" t="n">
        <x:v>6.3</x:v>
      </x:c>
      <x:c r="L33" s="10" t="n">
        <x:v>0</x:v>
      </x:c>
      <x:c r="M33" s="10" t="n">
        <x:v>0</x:v>
      </x:c>
      <x:c r="N33" s="10" t="n">
        <x:v>0</x:v>
      </x:c>
      <x:c r="O33" s="8" t="str">
        <x:v>https://static.cninfo.com.cn/finalpage/2026-08-29/1225528829.PDF</x:v>
      </x:c>
      <x:c r="P33" s="8" t="str">
        <x:v>一期50.6万吨精矿；65%权益；完全成本及8.5%综合矿端税费均为估算，不把二期当已投产。</x:v>
      </x:c>
    </x:row>
    <x:row r="34" ht="73" customHeight="1">
      <x:c r="A34" s="2" t="str">
        <x:v>赣锋锂业</x:v>
      </x:c>
      <x:c r="B34" s="2" t="str">
        <x:v>Cauchari一期</x:v>
      </x:c>
      <x:c r="C34" s="14" t="n">
        <x:v>0.4667</x:v>
      </x:c>
      <x:c r="D34" s="2" t="str">
        <x:v>盐湖</x:v>
      </x:c>
      <x:c r="E34" s="13" t="n">
        <x:v>5.4</x:v>
      </x:c>
      <x:c r="F34" s="10" t="n">
        <x:v>0.06</x:v>
      </x:c>
      <x:c r="G34" s="10" t="n">
        <x:v>0.35</x:v>
      </x:c>
      <x:c r="H34" s="10" t="n">
        <x:v>0.92</x:v>
      </x:c>
      <x:c r="I34" s="18" t="n">
        <x:v>3.9</x:v>
      </x:c>
      <x:c r="J34" s="18" t="n">
        <x:v>4</x:v>
      </x:c>
      <x:c r="K34" s="18" t="n">
        <x:v>4</x:v>
      </x:c>
      <x:c r="L34" s="10" t="n">
        <x:v>0</x:v>
      </x:c>
      <x:c r="M34" s="10" t="n">
        <x:v>0</x:v>
      </x:c>
      <x:c r="N34" s="10" t="n">
        <x:v>0</x:v>
      </x:c>
      <x:c r="O34" s="8" t="str">
        <x:v>https://finviz.com/news/380366/lithium-argentina-reports-second-quarter-2026-results</x:v>
      </x:c>
      <x:c r="P34" s="8" t="str">
        <x:v>C1 $5897、C2 $7005/吨；固定成本含C1+折旧，另列价相关税费；76%包销权不等于股权；未加未核实的LAR间接持股。</x:v>
      </x:c>
    </x:row>
    <x:row r="35" ht="73" customHeight="1">
      <x:c r="A35" s="2" t="str">
        <x:v>赣锋锂业</x:v>
      </x:c>
      <x:c r="B35" s="2" t="str">
        <x:v>Cauchari二期首模块</x:v>
      </x:c>
      <x:c r="C35" s="14" t="n">
        <x:v>0.4667</x:v>
      </x:c>
      <x:c r="D35" s="2" t="str">
        <x:v>盐湖</x:v>
      </x:c>
      <x:c r="E35" s="13" t="n">
        <x:v>5</x:v>
      </x:c>
      <x:c r="F35" s="10" t="n">
        <x:v>0.06</x:v>
      </x:c>
      <x:c r="G35" s="10" t="n">
        <x:v>0.25</x:v>
      </x:c>
      <x:c r="H35" s="10" t="n">
        <x:v>0.95</x:v>
      </x:c>
      <x:c r="I35" s="18" t="n">
        <x:v>0</x:v>
      </x:c>
      <x:c r="J35" s="18" t="n">
        <x:v>0.3</x:v>
      </x:c>
      <x:c r="K35" s="18" t="n">
        <x:v>1</x:v>
      </x:c>
      <x:c r="L35" s="10" t="n">
        <x:v>0</x:v>
      </x:c>
      <x:c r="M35" s="10" t="n">
        <x:v>0</x:v>
      </x:c>
      <x:c r="N35" s="10" t="n">
        <x:v>0</x:v>
      </x:c>
      <x:c r="O35" s="8" t="str">
        <x:v>https://investingnews.com/lithium-argentina-announces-cauchari-olaroz-stage-2-scoping-study-results-and-acceleration-of-initial-phase-of-10000-tpa/</x:v>
      </x:c>
      <x:c r="P35" s="8" t="str">
        <x:v>2026-09-30发布目标：1万吨模块2028上线，仍需许可；模型2028仅3000吨、2029满1万吨。25%所得税为RIGI假设。</x:v>
      </x:c>
    </x:row>
    <x:row r="36" ht="73" customHeight="1">
      <x:c r="A36" s="2" t="str">
        <x:v>赣锋锂业</x:v>
      </x:c>
      <x:c r="B36" s="2" t="str">
        <x:v>Mariana</x:v>
      </x:c>
      <x:c r="C36" s="14" t="n">
        <x:v>1</x:v>
      </x:c>
      <x:c r="D36" s="2" t="str">
        <x:v>盐湖</x:v>
      </x:c>
      <x:c r="E36" s="13" t="n">
        <x:v>4.8</x:v>
      </x:c>
      <x:c r="F36" s="10" t="n">
        <x:v>0.03</x:v>
      </x:c>
      <x:c r="G36" s="10" t="n">
        <x:v>0.25</x:v>
      </x:c>
      <x:c r="H36" s="10" t="n">
        <x:v>0.95</x:v>
      </x:c>
      <x:c r="I36" s="18" t="n">
        <x:v>1.4</x:v>
      </x:c>
      <x:c r="J36" s="18" t="n">
        <x:v>1.55</x:v>
      </x:c>
      <x:c r="K36" s="18" t="n">
        <x:v>1.65</x:v>
      </x:c>
      <x:c r="L36" s="10" t="n">
        <x:v>0</x:v>
      </x:c>
      <x:c r="M36" s="10" t="n">
        <x:v>0</x:v>
      </x:c>
      <x:c r="N36" s="10" t="n">
        <x:v>0</x:v>
      </x:c>
      <x:c r="O36" s="8" t="str">
        <x:v>https://static.cninfo.com.cn/finalpage/2026-08-29/1225528829.PDF</x:v>
      </x:c>
      <x:c r="P36" s="8" t="str">
        <x:v>设计2万吨氯化锂，不是2万吨LCE；无水LiCl理论折LCE约1.743万吨；成本/量为估算。</x:v>
      </x:c>
    </x:row>
    <x:row r="37" ht="73" customHeight="1">
      <x:c r="A37" s="2" t="str">
        <x:v>赣锋锂业</x:v>
      </x:c>
      <x:c r="B37" s="2" t="str">
        <x:v>加不斯</x:v>
      </x:c>
      <x:c r="C37" s="14" t="n">
        <x:v>0.7</x:v>
      </x:c>
      <x:c r="D37" s="2" t="str">
        <x:v>矿</x:v>
      </x:c>
      <x:c r="E37" s="13" t="n">
        <x:v>3.9</x:v>
      </x:c>
      <x:c r="F37" s="10" t="n">
        <x:v>0.045</x:v>
      </x:c>
      <x:c r="G37" s="10" t="n">
        <x:v>0.15</x:v>
      </x:c>
      <x:c r="H37" s="10" t="n">
        <x:v>1</x:v>
      </x:c>
      <x:c r="I37" s="18" t="n">
        <x:v>0.75</x:v>
      </x:c>
      <x:c r="J37" s="18" t="n">
        <x:v>0.8</x:v>
      </x:c>
      <x:c r="K37" s="18" t="n">
        <x:v>0.85</x:v>
      </x:c>
      <x:c r="L37" s="10" t="n">
        <x:v>0</x:v>
      </x:c>
      <x:c r="M37" s="10" t="n">
        <x:v>0</x:v>
      </x:c>
      <x:c r="N37" s="10" t="n">
        <x:v>0</x:v>
      </x:c>
      <x:c r="O37" s="8" t="str">
        <x:v>https://static.cninfo.com.cn/finalpage/2026-08-29/1225528829.PDF</x:v>
      </x:c>
      <x:c r="P37" s="8" t="str">
        <x:v>70%权益；2026H1 4.23万吨4.25%精矿；折LCE和未来量估算，不把原矿吨数当锂盐吨数。</x:v>
      </x:c>
    </x:row>
    <x:row r="38" ht="73" customHeight="1">
      <x:c r="A38" s="2" t="str">
        <x:v>赣锋锂业</x:v>
      </x:c>
      <x:c r="B38" s="2" t="str">
        <x:v>宁都河源</x:v>
      </x:c>
      <x:c r="C38" s="14" t="n">
        <x:v>1</x:v>
      </x:c>
      <x:c r="D38" s="2" t="str">
        <x:v>矿</x:v>
      </x:c>
      <x:c r="E38" s="13" t="n">
        <x:v>3.9</x:v>
      </x:c>
      <x:c r="F38" s="10" t="n">
        <x:v>0.045</x:v>
      </x:c>
      <x:c r="G38" s="10" t="n">
        <x:v>0.15</x:v>
      </x:c>
      <x:c r="H38" s="10" t="n">
        <x:v>1</x:v>
      </x:c>
      <x:c r="I38" s="18" t="n">
        <x:v>0.2</x:v>
      </x:c>
      <x:c r="J38" s="18" t="n">
        <x:v>0.2</x:v>
      </x:c>
      <x:c r="K38" s="18" t="n">
        <x:v>0.2</x:v>
      </x:c>
      <x:c r="L38" s="10" t="n">
        <x:v>0</x:v>
      </x:c>
      <x:c r="M38" s="10" t="n">
        <x:v>0</x:v>
      </x:c>
      <x:c r="N38" s="10" t="n">
        <x:v>0</x:v>
      </x:c>
      <x:c r="O38" s="8" t="str">
        <x:v>https://static.cninfo.com.cn/finalpage/2026-08-29/1225528829.PDF</x:v>
      </x:c>
      <x:c r="P38" s="8" t="str">
        <x:v>小规模矿源贡献为估算；其余零散资源暂不计，避免用资源储量推断产量。</x:v>
      </x:c>
    </x:row>
    <x:row r="39" ht="73" customHeight="1">
      <x:c r="A39" s="2" t="str">
        <x:v>赣锋锂业</x:v>
      </x:c>
      <x:c r="B39" s="2" t="str">
        <x:v>邦巴利</x:v>
      </x:c>
      <x:c r="C39" s="14" t="n">
        <x:v>0.73</x:v>
      </x:c>
      <x:c r="D39" s="2" t="str">
        <x:v>矿</x:v>
      </x:c>
      <x:c r="E39" s="13" t="n">
        <x:v>4.2</x:v>
      </x:c>
      <x:c r="F39" s="10" t="n">
        <x:v>0.05</x:v>
      </x:c>
      <x:c r="G39" s="10" t="n">
        <x:v>0.3</x:v>
      </x:c>
      <x:c r="H39" s="10" t="n">
        <x:v>1</x:v>
      </x:c>
      <x:c r="I39" s="18" t="n">
        <x:v>0</x:v>
      </x:c>
      <x:c r="J39" s="18" t="n">
        <x:v>0.6</x:v>
      </x:c>
      <x:c r="K39" s="18" t="n">
        <x:v>1.5</x:v>
      </x:c>
      <x:c r="L39" s="10" t="n">
        <x:v>0</x:v>
      </x:c>
      <x:c r="M39" s="10" t="n">
        <x:v>0</x:v>
      </x:c>
      <x:c r="N39" s="10" t="n">
        <x:v>0</x:v>
      </x:c>
      <x:c r="O39" s="8" t="str">
        <x:v>https://static.cninfo.com.cn/finalpage/2026-08-29/1225528829.PDF</x:v>
      </x:c>
      <x:c r="P39" s="8" t="str">
        <x:v>200万吨/年原矿，公告预计2027爬坡；基准延后到2028贡献；30%税、成本和有效产量属假设。</x:v>
      </x:c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3" customHeight="1">
      <x:c r="A42" s="2" t="str">
        <x:v>已披露事实与来源｜成本假设不等于当期成本，名义产能不等于有效销量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56" customHeight="1">
      <x:c r="A43" s="8" t="str">
        <x:v>雅化｜2026H1</x:v>
      </x:c>
      <x:c r="B43" s="8" t="str">
        <x:v>锂业务收入49.28亿，民爆15.64亿，运输2.18亿；归母12.16亿</x:v>
      </x:c>
      <x:c r="C43" s="8"/>
      <x:c r="D43" s="8"/>
      <x:c r="E43" s="8"/>
      <x:c r="F43" s="8"/>
      <x:c r="G43" s="8"/>
      <x:c r="H43" s="8"/>
      <x:c r="I43" s="8" t="str">
        <x:v>https://static.cninfo.com.cn/finalpage/2026-08-26/1225504935.PDF</x:v>
      </x:c>
      <x:c r="J43" s="8"/>
      <x:c r="K43" s="8"/>
      <x:c r="L43" s="8"/>
      <x:c r="M43" s="8"/>
      <x:c r="N43" s="8"/>
      <x:c r="O43" s="8"/>
      <x:c r="P43" s="8"/>
    </x:row>
    <x:row r="44" ht="56" customHeight="1">
      <x:c r="A44" s="8" t="str">
        <x:v>雅化｜现有资源</x:v>
      </x:c>
      <x:c r="B44" s="8" t="str">
        <x:v>卡玛蒂维35万吨精矿，68%权益；李家沟原矿105万吨，约15万吨SC6；对能投股权37.25%、穿透矿山27.94%</x:v>
      </x:c>
      <x:c r="C44" s="8"/>
      <x:c r="D44" s="8"/>
      <x:c r="E44" s="8"/>
      <x:c r="F44" s="8"/>
      <x:c r="G44" s="8"/>
      <x:c r="H44" s="8"/>
      <x:c r="I44" s="8" t="str">
        <x:v>https://static.cninfo.com.cn/finalpage/2026-08-26/1225504935.PDF ; https://static.cninfo.com.cn/finalpage/2026-08-25/1225496246.PDF</x:v>
      </x:c>
      <x:c r="J44" s="8"/>
      <x:c r="K44" s="8"/>
      <x:c r="L44" s="8"/>
      <x:c r="M44" s="8"/>
      <x:c r="N44" s="8"/>
      <x:c r="O44" s="8"/>
      <x:c r="P44" s="8"/>
    </x:row>
    <x:row r="45" ht="56" customHeight="1">
      <x:c r="A45" s="8" t="str">
        <x:v>雅化｜2026-09-11交流</x:v>
      </x:c>
      <x:c r="B45" s="8" t="str">
        <x:v>上半年使用自有矿约50%；锂盐近13万吨，预计全年利用率80%以上；津巴硫酸锂预计2027建成，具体月份未保证</x:v>
      </x:c>
      <x:c r="C45" s="8"/>
      <x:c r="D45" s="8"/>
      <x:c r="E45" s="8"/>
      <x:c r="F45" s="8"/>
      <x:c r="G45" s="8"/>
      <x:c r="H45" s="8"/>
      <x:c r="I45" s="8" t="str">
        <x:v>https://file.finance.sina.com.cn/211.154.219.97:9494/MRGG/CNSESZ_STOCK/2026/2026-9/2026-09-11/12599432.PDF</x:v>
      </x:c>
      <x:c r="J45" s="8"/>
      <x:c r="K45" s="8"/>
      <x:c r="L45" s="8"/>
      <x:c r="M45" s="8"/>
      <x:c r="N45" s="8"/>
      <x:c r="O45" s="8"/>
      <x:c r="P45" s="8"/>
    </x:row>
    <x:row r="46" ht="56" customHeight="1">
      <x:c r="A46" s="8" t="str">
        <x:v>盛新｜2026H1</x:v>
      </x:c>
      <x:c r="B46" s="8" t="str">
        <x:v>锂产品收入73.58亿；归母10.12亿、扣非13.32亿；锂盐销量58694.75吨、金属锂147.65吨；不能当作纯碳酸锂销量</x:v>
      </x:c>
      <x:c r="C46" s="8"/>
      <x:c r="D46" s="8"/>
      <x:c r="E46" s="8"/>
      <x:c r="F46" s="8"/>
      <x:c r="G46" s="8"/>
      <x:c r="H46" s="8"/>
      <x:c r="I46" s="8" t="str">
        <x:v>https://static.cninfo.com.cn/finalpage/2026-08-25/1225496204.PDF ; https://static.cninfo.com.cn/finalpage/2026-09-11/1225558021.PDF</x:v>
      </x:c>
      <x:c r="J46" s="8"/>
      <x:c r="K46" s="8"/>
      <x:c r="L46" s="8"/>
      <x:c r="M46" s="8"/>
      <x:c r="N46" s="8"/>
      <x:c r="O46" s="8"/>
      <x:c r="P46" s="8"/>
    </x:row>
    <x:row r="47" ht="56" customHeight="1">
      <x:c r="A47" s="8" t="str">
        <x:v>盛新｜现有产能</x:v>
      </x:c>
      <x:c r="B47" s="8" t="str">
        <x:v>锂盐13.7万吨/年、金属锂500吨；萨比星29万吨精矿、业隆沟7.5万吨精矿、SDLA2500吨LCE</x:v>
      </x:c>
      <x:c r="C47" s="8"/>
      <x:c r="D47" s="8"/>
      <x:c r="E47" s="8"/>
      <x:c r="F47" s="8"/>
      <x:c r="G47" s="8"/>
      <x:c r="H47" s="8"/>
      <x:c r="I47" s="8" t="str">
        <x:v>https://static.cninfo.com.cn/finalpage/2026-08-25/1225496204.PDF</x:v>
      </x:c>
      <x:c r="J47" s="8"/>
      <x:c r="K47" s="8"/>
      <x:c r="L47" s="8"/>
      <x:c r="M47" s="8"/>
      <x:c r="N47" s="8"/>
      <x:c r="O47" s="8"/>
      <x:c r="P47" s="8"/>
    </x:row>
    <x:row r="48" ht="56" customHeight="1">
      <x:c r="A48" s="8" t="str">
        <x:v>盛新｜木绒</x:v>
      </x:c>
      <x:c r="B48" s="8" t="str">
        <x:v>300万吨原矿、71.74万吨5%精矿、约7.5万吨LCE；100%持股；预计2030年前后达设计；经营成本1385.58元/吨、可研总成本1768.19元/吨</x:v>
      </x:c>
      <x:c r="C48" s="8"/>
      <x:c r="D48" s="8"/>
      <x:c r="E48" s="8"/>
      <x:c r="F48" s="8"/>
      <x:c r="G48" s="8"/>
      <x:c r="H48" s="8"/>
      <x:c r="I48" s="8" t="str">
        <x:v>https://static.cninfo.com.cn/finalpage/2026-09-11/1225558021.PDF</x:v>
      </x:c>
      <x:c r="J48" s="8"/>
      <x:c r="K48" s="8"/>
      <x:c r="L48" s="8"/>
      <x:c r="M48" s="8"/>
      <x:c r="N48" s="8"/>
      <x:c r="O48" s="8"/>
      <x:c r="P48" s="8"/>
    </x:row>
    <x:row r="49" ht="56" customHeight="1">
      <x:c r="A49" s="8" t="str">
        <x:v>盛新｜木绒口径陷阱</x:v>
      </x:c>
      <x:c r="B49" s="8" t="str">
        <x:v>可研总成本不等于上市公司全口径：另有并购采矿权摊销，成熟年新增折旧摊销合计66870.58万元；不直接拿1768元算归母</x:v>
      </x:c>
      <x:c r="C49" s="8"/>
      <x:c r="D49" s="8"/>
      <x:c r="E49" s="8"/>
      <x:c r="F49" s="8"/>
      <x:c r="G49" s="8"/>
      <x:c r="H49" s="8"/>
      <x:c r="I49" s="8" t="str">
        <x:v>https://static.cninfo.com.cn/finalpage/2026-09-11/1225558021.PDF</x:v>
      </x:c>
      <x:c r="J49" s="8"/>
      <x:c r="K49" s="8"/>
      <x:c r="L49" s="8"/>
      <x:c r="M49" s="8"/>
      <x:c r="N49" s="8"/>
      <x:c r="O49" s="8"/>
      <x:c r="P49" s="8"/>
    </x:row>
    <x:row r="50" ht="56" customHeight="1">
      <x:c r="A50" s="8" t="str">
        <x:v>盛新｜Nigeria/硫酸锂</x:v>
      </x:c>
      <x:c r="B50" s="8" t="str">
        <x:v>Nigeria正在建设50万吨/年选矿厂；津巴/Nigeria各7.5万吨硫酸锂，周期19个月；选矿厂不等于拥有低成本矿山，硫酸锂吨数不等于LCE</x:v>
      </x:c>
      <x:c r="C50" s="8"/>
      <x:c r="D50" s="8"/>
      <x:c r="E50" s="8"/>
      <x:c r="F50" s="8"/>
      <x:c r="G50" s="8"/>
      <x:c r="H50" s="8"/>
      <x:c r="I50" s="8" t="str">
        <x:v>https://static.cninfo.com.cn/finalpage/2026-08-25/1225496209.PDF</x:v>
      </x:c>
      <x:c r="J50" s="8"/>
      <x:c r="K50" s="8"/>
      <x:c r="L50" s="8"/>
      <x:c r="M50" s="8"/>
      <x:c r="N50" s="8"/>
      <x:c r="O50" s="8"/>
      <x:c r="P50" s="8"/>
    </x:row>
    <x:row r="51" ht="56" customHeight="1">
      <x:c r="A51" s="8" t="str">
        <x:v>赣锋｜2026H1</x:v>
      </x:c>
      <x:c r="B51" s="8" t="str">
        <x:v>锂系列收入141.97亿、锂电池78.31亿；归母42.57亿、扣非38.48亿</x:v>
      </x:c>
      <x:c r="C51" s="8"/>
      <x:c r="D51" s="8"/>
      <x:c r="E51" s="8"/>
      <x:c r="F51" s="8"/>
      <x:c r="G51" s="8"/>
      <x:c r="H51" s="8"/>
      <x:c r="I51" s="8" t="str">
        <x:v>https://static.cninfo.com.cn/finalpage/2026-08-29/1225528829.PDF</x:v>
      </x:c>
      <x:c r="J51" s="8"/>
      <x:c r="K51" s="8"/>
      <x:c r="L51" s="8"/>
      <x:c r="M51" s="8"/>
      <x:c r="N51" s="8"/>
      <x:c r="O51" s="8"/>
      <x:c r="P51" s="8"/>
    </x:row>
    <x:row r="52" ht="56" customHeight="1">
      <x:c r="A52" s="8" t="str">
        <x:v>赣锋｜Mt Marion</x:v>
      </x:c>
      <x:c r="B52" s="8" t="str">
        <x:v>50%权益；升级设计60万吨SC6；FY26 FOB成本847澳元/吨SC6；不含全链条全部费用</x:v>
      </x:c>
      <x:c r="C52" s="8"/>
      <x:c r="D52" s="8"/>
      <x:c r="E52" s="8"/>
      <x:c r="F52" s="8"/>
      <x:c r="G52" s="8"/>
      <x:c r="H52" s="8"/>
      <x:c r="I52" s="8" t="str">
        <x:v>https://static.cninfo.com.cn/finalpage/2026-08-29/1225528829.PDF ; https://cdn.sanity.io/files/o6ep64o3/production/b872ab24beb44ee4ea68c64c7cd431ea4ce49c74.pdf</x:v>
      </x:c>
      <x:c r="J52" s="8"/>
      <x:c r="K52" s="8"/>
      <x:c r="L52" s="8"/>
      <x:c r="M52" s="8"/>
      <x:c r="N52" s="8"/>
      <x:c r="O52" s="8"/>
      <x:c r="P52" s="8"/>
    </x:row>
    <x:row r="53" ht="56" customHeight="1">
      <x:c r="A53" s="8" t="str">
        <x:v>赣锋｜Goulamina</x:v>
      </x:c>
      <x:c r="B53" s="8" t="str">
        <x:v>65%权益；一期50.6万吨精矿；2026H1生产23.38万吨；二期推动中，无确定量产时间入基础盘</x:v>
      </x:c>
      <x:c r="C53" s="8"/>
      <x:c r="D53" s="8"/>
      <x:c r="E53" s="8"/>
      <x:c r="F53" s="8"/>
      <x:c r="G53" s="8"/>
      <x:c r="H53" s="8"/>
      <x:c r="I53" s="8" t="str">
        <x:v>https://static.cninfo.com.cn/finalpage/2026-08-29/1225528829.PDF</x:v>
      </x:c>
      <x:c r="J53" s="8"/>
      <x:c r="K53" s="8"/>
      <x:c r="L53" s="8"/>
      <x:c r="M53" s="8"/>
      <x:c r="N53" s="8"/>
      <x:c r="O53" s="8"/>
      <x:c r="P53" s="8"/>
    </x:row>
    <x:row r="54" ht="56" customHeight="1">
      <x:c r="A54" s="8" t="str">
        <x:v>赣锋｜Cauchari</x:v>
      </x:c>
      <x:c r="B54" s="8" t="str">
        <x:v>46.67%权益、76%包销；一期4万吨LCE；2026H1约1.9万吨；2026Q2 C1 5897美元/吨、C2 7005美元/吨，后者仍不等于含所得税利润成本</x:v>
      </x:c>
      <x:c r="C54" s="8"/>
      <x:c r="D54" s="8"/>
      <x:c r="E54" s="8"/>
      <x:c r="F54" s="8"/>
      <x:c r="G54" s="8"/>
      <x:c r="H54" s="8"/>
      <x:c r="I54" s="8" t="str">
        <x:v>https://static.cninfo.com.cn/finalpage/2026-08-29/1225528829.PDF ; https://finviz.com/news/380366/lithium-argentina-reports-second-quarter-2026-results</x:v>
      </x:c>
      <x:c r="J54" s="8"/>
      <x:c r="K54" s="8"/>
      <x:c r="L54" s="8"/>
      <x:c r="M54" s="8"/>
      <x:c r="N54" s="8"/>
      <x:c r="O54" s="8"/>
      <x:c r="P54" s="8"/>
    </x:row>
    <x:row r="55" ht="56" customHeight="1">
      <x:c r="A55" s="8" t="str">
        <x:v>赣锋｜Cauchari二期</x:v>
      </x:c>
      <x:c r="B55" s="8" t="str">
        <x:v>总规划新增4.5万吨，首1万吨模块目标2028；许可/技术出口审批仍是条件，不把4.5万吨全纳入2029</x:v>
      </x:c>
      <x:c r="C55" s="8"/>
      <x:c r="D55" s="8"/>
      <x:c r="E55" s="8"/>
      <x:c r="F55" s="8"/>
      <x:c r="G55" s="8"/>
      <x:c r="H55" s="8"/>
      <x:c r="I55" s="8" t="str">
        <x:v>https://investingnews.com/lithium-argentina-announces-cauchari-olaroz-stage-2-scoping-study-results-and-acceleration-of-initial-phase-of-10000-tpa/</x:v>
      </x:c>
      <x:c r="J55" s="8"/>
      <x:c r="K55" s="8"/>
      <x:c r="L55" s="8"/>
      <x:c r="M55" s="8"/>
      <x:c r="N55" s="8"/>
      <x:c r="O55" s="8"/>
      <x:c r="P55" s="8"/>
    </x:row>
    <x:row r="56" ht="56" customHeight="1">
      <x:c r="A56" s="8" t="str">
        <x:v>赣锋｜Mariana</x:v>
      </x:c>
      <x:c r="B56" s="8" t="str">
        <x:v>100%权益，2万吨氯化锂；理论无水LiCl折LCE系数约0.8715；不能直接按2万吨电池级碳酸锂计算</x:v>
      </x:c>
      <x:c r="C56" s="8"/>
      <x:c r="D56" s="8"/>
      <x:c r="E56" s="8"/>
      <x:c r="F56" s="8"/>
      <x:c r="G56" s="8"/>
      <x:c r="H56" s="8"/>
      <x:c r="I56" s="8" t="str">
        <x:v>https://static.cninfo.com.cn/finalpage/2026-08-29/1225528829.PDF</x:v>
      </x:c>
      <x:c r="J56" s="8"/>
      <x:c r="K56" s="8"/>
      <x:c r="L56" s="8"/>
      <x:c r="M56" s="8"/>
      <x:c r="N56" s="8"/>
      <x:c r="O56" s="8"/>
      <x:c r="P56" s="8"/>
    </x:row>
    <x:row r="57" ht="56" customHeight="1">
      <x:c r="A57" s="8" t="str">
        <x:v>赣锋｜邦巴利与加不斯</x:v>
      </x:c>
      <x:c r="B57" s="8" t="str">
        <x:v>邦巴利73%权益、200万吨原矿/年、预计2027爬坡；加不斯70%权益、2026H1 4.23万吨4.25%精矿</x:v>
      </x:c>
      <x:c r="C57" s="8"/>
      <x:c r="D57" s="8"/>
      <x:c r="E57" s="8"/>
      <x:c r="F57" s="8"/>
      <x:c r="G57" s="8"/>
      <x:c r="H57" s="8"/>
      <x:c r="I57" s="8" t="str">
        <x:v>https://static.cninfo.com.cn/finalpage/2026-08-29/1225528829.PDF</x:v>
      </x:c>
      <x:c r="J57" s="8"/>
      <x:c r="K57" s="8"/>
      <x:c r="L57" s="8"/>
      <x:c r="M57" s="8"/>
      <x:c r="N57" s="8"/>
      <x:c r="O57" s="8"/>
      <x:c r="P57" s="8"/>
    </x:row>
    <x:row r="58" ht="56" customHeight="1">
      <x:c r="A58" s="8" t="str">
        <x:v>资源国税费</x:v>
      </x:c>
      <x:c r="B58" s="8" t="str">
        <x:v>国内锂盐主体多为15%所得税；KMC/Max Mind披露25%，Exar35%，Mariana25%；矿端附加税模型独立估算；津巴2026 gross levy3%、精矿出口VAT10%与硫酸锂0%属于另一口径</x:v>
      </x:c>
      <x:c r="C58" s="8"/>
      <x:c r="D58" s="8"/>
      <x:c r="E58" s="8"/>
      <x:c r="F58" s="8"/>
      <x:c r="G58" s="8"/>
      <x:c r="H58" s="8"/>
      <x:c r="I58" s="8" t="str">
        <x:v>https://static.cninfo.com.cn/finalpage/2026-08-26/1225504935.PDF ; https://static.cninfo.com.cn/finalpage/2026-08-25/1225496204.PDF ; https://static.cninfo.com.cn/finalpage/2026-08-29/1225528829.PDF ; https://www.mmmlawfirm.co.zw/mining-tax-and-regulatory-updates-in-zimbabwe-2026-key-provisions-of-the-finance-act-no-7-of-2025/</x:v>
      </x:c>
      <x:c r="J58" s="8"/>
      <x:c r="K58" s="8"/>
      <x:c r="L58" s="8"/>
      <x:c r="M58" s="8"/>
      <x:c r="N58" s="8"/>
      <x:c r="O58" s="8"/>
      <x:c r="P58" s="8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</x:sheetData>
  <x:mergeCells>
    <x:mergeCell ref="A1:P2"/>
    <x:mergeCell ref="A3:P3"/>
    <x:mergeCell ref="A13:P13"/>
    <x:mergeCell ref="A25:P25"/>
    <x:mergeCell ref="A42:P42"/>
    <x:mergeCell ref="B43:H43"/>
    <x:mergeCell ref="I43:P43"/>
    <x:mergeCell ref="B44:H44"/>
    <x:mergeCell ref="I44:P44"/>
    <x:mergeCell ref="B45:H45"/>
    <x:mergeCell ref="I45:P45"/>
    <x:mergeCell ref="B46:H46"/>
    <x:mergeCell ref="I46:P46"/>
    <x:mergeCell ref="B47:H47"/>
    <x:mergeCell ref="I47:P47"/>
    <x:mergeCell ref="B48:H48"/>
    <x:mergeCell ref="I48:P48"/>
    <x:mergeCell ref="B49:H49"/>
    <x:mergeCell ref="I49:P49"/>
    <x:mergeCell ref="B50:H50"/>
    <x:mergeCell ref="I50:P50"/>
    <x:mergeCell ref="B51:H51"/>
    <x:mergeCell ref="I51:P51"/>
    <x:mergeCell ref="B52:H52"/>
    <x:mergeCell ref="I52:P52"/>
    <x:mergeCell ref="B53:H53"/>
    <x:mergeCell ref="I53:P53"/>
    <x:mergeCell ref="B54:H54"/>
    <x:mergeCell ref="I54:P54"/>
    <x:mergeCell ref="B55:H55"/>
    <x:mergeCell ref="I55:P55"/>
    <x:mergeCell ref="B56:H56"/>
    <x:mergeCell ref="I56:P56"/>
    <x:mergeCell ref="B57:H57"/>
    <x:mergeCell ref="I57:P57"/>
    <x:mergeCell ref="B58:H58"/>
    <x:mergeCell ref="I58:P5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3" customHeight="1">
      <x:c r="A1" s="4" t="str">
        <x:v>上游项目：税后权益利润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3" customHeight="1">
      <x:c r="A3" s="2" t="str">
        <x:v>矿山按市场原料净回值，盐湖按锂盐售价；先扣矿端价相关税费，再扣所得税，最后乘权益。亏损不确认即时税收收益。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4" customHeight="1">
      <x:c r="A4" s="7" t="str">
        <x:v>公司</x:v>
      </x:c>
      <x:c r="B4" s="7" t="str">
        <x:v>项目</x:v>
      </x:c>
      <x:c r="C4" s="7" t="str">
        <x:v>年度</x:v>
      </x:c>
      <x:c r="D4" s="7" t="str">
        <x:v>含税锂价</x:v>
      </x:c>
      <x:c r="E4" s="7" t="str">
        <x:v>净锂价</x:v>
      </x:c>
      <x:c r="F4" s="7" t="str">
        <x:v>项目售价</x:v>
      </x:c>
      <x:c r="G4" s="7" t="str">
        <x:v>有效量</x:v>
      </x:c>
      <x:c r="H4" s="7" t="str">
        <x:v>权益</x:v>
      </x:c>
      <x:c r="I4" s="7" t="str">
        <x:v>固定成本</x:v>
      </x:c>
      <x:c r="J4" s="7" t="str">
        <x:v>税费率</x:v>
      </x:c>
      <x:c r="K4" s="7" t="str">
        <x:v>所得税率</x:v>
      </x:c>
      <x:c r="L4" s="7" t="str">
        <x:v>税前利润</x:v>
      </x:c>
      <x:c r="M4" s="7" t="str">
        <x:v>所得税</x:v>
      </x:c>
      <x:c r="N4" s="7" t="str">
        <x:v>归母贡献</x:v>
      </x:c>
    </x:row>
    <x:row r="5" ht="23" customHeight="1">
      <x:c r="A5" s="2" t="str">
        <x:v>雅化集团</x:v>
      </x:c>
      <x:c r="B5" s="2" t="str">
        <x:v>卡玛蒂维</x:v>
      </x:c>
      <x:c r="C5" s="2" t="n">
        <x:v>2027</x:v>
      </x:c>
      <x:c r="D5" s="19" t="n">
        <x:f>参数与事实!E$5</x:f>
        <x:v>10</x:v>
      </x:c>
      <x:c r="E5" s="19" t="n">
        <x:f>D5/(1+参数与事实!$B$5)</x:f>
        <x:v>8.849557522123895</x:v>
      </x:c>
      <x:c r="F5" s="19" t="n">
        <x:f>MAX(参数与事实!$B$8,E5*参数与事实!$B$7-参数与事实!$B$10)</x:f>
        <x:v>5.764601769911506</x:v>
      </x:c>
      <x:c r="G5" s="19" t="n">
        <x:f>参数与事实!I27</x:f>
        <x:v>3.2</x:v>
      </x:c>
      <x:c r="H5" s="20" t="n">
        <x:f>参数与事实!C27</x:f>
        <x:v>0.68</x:v>
      </x:c>
      <x:c r="I5" s="19" t="n">
        <x:f>参数与事实!E27+参数与事实!$B$9</x:f>
        <x:v>3.3</x:v>
      </x:c>
      <x:c r="J5" s="21" t="n">
        <x:f>参数与事实!F27+参数与事实!L27</x:f>
        <x:v>0.15000000000000002</x:v>
      </x:c>
      <x:c r="K5" s="21" t="n">
        <x:f>参数与事实!G27</x:f>
        <x:v>0.25</x:v>
      </x:c>
      <x:c r="L5" s="15" t="n">
        <x:f>(F5*(1-J5)-I5)*G5</x:f>
        <x:v>5.119716814159296</x:v>
      </x:c>
      <x:c r="M5" s="15" t="n">
        <x:f>MAX(L5,0)*K5</x:f>
        <x:v>1.279929203539824</x:v>
      </x:c>
      <x:c r="N5" s="22" t="n">
        <x:f>(L5-M5)*H5</x:f>
        <x:v>2.6110555752212408</x:v>
      </x:c>
    </x:row>
    <x:row r="6" ht="23" customHeight="1">
      <x:c r="A6" s="2" t="str">
        <x:v>雅化集团</x:v>
      </x:c>
      <x:c r="B6" s="2" t="str">
        <x:v>卡玛蒂维</x:v>
      </x:c>
      <x:c r="C6" s="2" t="n">
        <x:v>2027</x:v>
      </x:c>
      <x:c r="D6" s="19" t="n">
        <x:f>参数与事实!F$5</x:f>
        <x:v>15</x:v>
      </x:c>
      <x:c r="E6" s="19" t="n">
        <x:f>D6/(1+参数与事实!$B$5)</x:f>
        <x:v>13.274336283185843</x:v>
      </x:c>
      <x:c r="F6" s="19" t="n">
        <x:f>MAX(参数与事实!$B$8,E6*参数与事实!$B$7-参数与事实!$B$10)</x:f>
        <x:v>9.74690265486726</x:v>
      </x:c>
      <x:c r="G6" s="19" t="n">
        <x:f>参数与事实!I27</x:f>
        <x:v>3.2</x:v>
      </x:c>
      <x:c r="H6" s="20" t="n">
        <x:f>参数与事实!C27</x:f>
        <x:v>0.68</x:v>
      </x:c>
      <x:c r="I6" s="19" t="n">
        <x:f>参数与事实!E27+参数与事实!$B$9</x:f>
        <x:v>3.3</x:v>
      </x:c>
      <x:c r="J6" s="21" t="n">
        <x:f>参数与事实!F27+参数与事实!L27</x:f>
        <x:v>0.15000000000000002</x:v>
      </x:c>
      <x:c r="K6" s="21" t="n">
        <x:f>参数与事实!G27</x:f>
        <x:v>0.25</x:v>
      </x:c>
      <x:c r="L6" s="15" t="n">
        <x:f>(F6*(1-J6)-I6)*G6</x:f>
        <x:v>15.951575221238947</x:v>
      </x:c>
      <x:c r="M6" s="15" t="n">
        <x:f>MAX(L6,0)*K6</x:f>
        <x:v>3.987893805309737</x:v>
      </x:c>
      <x:c r="N6" s="22" t="n">
        <x:f>(L6-M6)*H6</x:f>
        <x:v>8.135303362831865</x:v>
      </x:c>
    </x:row>
    <x:row r="7" ht="23" customHeight="1">
      <x:c r="A7" s="2" t="str">
        <x:v>雅化集团</x:v>
      </x:c>
      <x:c r="B7" s="2" t="str">
        <x:v>卡玛蒂维</x:v>
      </x:c>
      <x:c r="C7" s="2" t="n">
        <x:v>2027</x:v>
      </x:c>
      <x:c r="D7" s="19" t="n">
        <x:f>参数与事实!G$5</x:f>
        <x:v>20</x:v>
      </x:c>
      <x:c r="E7" s="19" t="n">
        <x:f>D7/(1+参数与事实!$B$5)</x:f>
        <x:v>17.69911504424779</x:v>
      </x:c>
      <x:c r="F7" s="19" t="n">
        <x:f>MAX(参数与事实!$B$8,E7*参数与事实!$B$7-参数与事实!$B$10)</x:f>
        <x:v>13.729203539823011</x:v>
      </x:c>
      <x:c r="G7" s="19" t="n">
        <x:f>参数与事实!I27</x:f>
        <x:v>3.2</x:v>
      </x:c>
      <x:c r="H7" s="20" t="n">
        <x:f>参数与事实!C27</x:f>
        <x:v>0.68</x:v>
      </x:c>
      <x:c r="I7" s="19" t="n">
        <x:f>参数与事实!E27+参数与事实!$B$9</x:f>
        <x:v>3.3</x:v>
      </x:c>
      <x:c r="J7" s="21" t="n">
        <x:f>参数与事实!F27+参数与事实!L27</x:f>
        <x:v>0.15000000000000002</x:v>
      </x:c>
      <x:c r="K7" s="21" t="n">
        <x:f>参数与事实!G27</x:f>
        <x:v>0.25</x:v>
      </x:c>
      <x:c r="L7" s="15" t="n">
        <x:f>(F7*(1-J7)-I7)*G7</x:f>
        <x:v>26.783433628318587</x:v>
      </x:c>
      <x:c r="M7" s="15" t="n">
        <x:f>MAX(L7,0)*K7</x:f>
        <x:v>6.695858407079647</x:v>
      </x:c>
      <x:c r="N7" s="22" t="n">
        <x:f>(L7-M7)*H7</x:f>
        <x:v>13.65955115044248</x:v>
      </x:c>
    </x:row>
    <x:row r="8" ht="23" customHeight="1">
      <x:c r="A8" s="2" t="str">
        <x:v>雅化集团</x:v>
      </x:c>
      <x:c r="B8" s="2" t="str">
        <x:v>卡玛蒂维</x:v>
      </x:c>
      <x:c r="C8" s="2" t="n">
        <x:v>2027</x:v>
      </x:c>
      <x:c r="D8" s="19" t="n">
        <x:f>参数与事实!H$5</x:f>
        <x:v>30</x:v>
      </x:c>
      <x:c r="E8" s="19" t="n">
        <x:f>D8/(1+参数与事实!$B$5)</x:f>
        <x:v>26.548672566371685</x:v>
      </x:c>
      <x:c r="F8" s="19" t="n">
        <x:f>MAX(参数与事实!$B$8,E8*参数与事实!$B$7-参数与事实!$B$10)</x:f>
        <x:v>21.69380530973452</x:v>
      </x:c>
      <x:c r="G8" s="19" t="n">
        <x:f>参数与事实!I27</x:f>
        <x:v>3.2</x:v>
      </x:c>
      <x:c r="H8" s="20" t="n">
        <x:f>参数与事实!C27</x:f>
        <x:v>0.68</x:v>
      </x:c>
      <x:c r="I8" s="19" t="n">
        <x:f>参数与事实!E27+参数与事实!$B$9</x:f>
        <x:v>3.3</x:v>
      </x:c>
      <x:c r="J8" s="21" t="n">
        <x:f>参数与事实!F27+参数与事实!L27</x:f>
        <x:v>0.15000000000000002</x:v>
      </x:c>
      <x:c r="K8" s="21" t="n">
        <x:f>参数与事实!G27</x:f>
        <x:v>0.25</x:v>
      </x:c>
      <x:c r="L8" s="15" t="n">
        <x:f>(F8*(1-J8)-I8)*G8</x:f>
        <x:v>48.44715044247789</x:v>
      </x:c>
      <x:c r="M8" s="15" t="n">
        <x:f>MAX(L8,0)*K8</x:f>
        <x:v>12.111787610619473</x:v>
      </x:c>
      <x:c r="N8" s="22" t="n">
        <x:f>(L8-M8)*H8</x:f>
        <x:v>24.708046725663728</x:v>
      </x:c>
    </x:row>
    <x:row r="9" ht="23" customHeight="1">
      <x:c r="A9" s="2" t="str">
        <x:v>雅化集团</x:v>
      </x:c>
      <x:c r="B9" s="2" t="str">
        <x:v>卡玛蒂维</x:v>
      </x:c>
      <x:c r="C9" s="2" t="n">
        <x:v>2028</x:v>
      </x:c>
      <x:c r="D9" s="19" t="n">
        <x:f>参数与事实!E$5</x:f>
        <x:v>10</x:v>
      </x:c>
      <x:c r="E9" s="19" t="n">
        <x:f>D9/(1+参数与事实!$B$5)</x:f>
        <x:v>8.849557522123895</x:v>
      </x:c>
      <x:c r="F9" s="19" t="n">
        <x:f>MAX(参数与事实!$B$8,E9*参数与事实!$B$7-参数与事实!$B$10)</x:f>
        <x:v>5.764601769911506</x:v>
      </x:c>
      <x:c r="G9" s="19" t="n">
        <x:f>参数与事实!J27</x:f>
        <x:v>3.65</x:v>
      </x:c>
      <x:c r="H9" s="20" t="n">
        <x:f>参数与事实!C27</x:f>
        <x:v>0.68</x:v>
      </x:c>
      <x:c r="I9" s="19" t="n">
        <x:f>参数与事实!E27+参数与事实!$B$9</x:f>
        <x:v>3.3</x:v>
      </x:c>
      <x:c r="J9" s="21" t="n">
        <x:f>参数与事实!F27+参数与事实!M27</x:f>
        <x:v>0.1</x:v>
      </x:c>
      <x:c r="K9" s="21" t="n">
        <x:f>参数与事实!G27</x:f>
        <x:v>0.25</x:v>
      </x:c>
      <x:c r="L9" s="15" t="n">
        <x:f>(F9*(1-J9)-I9)*G9</x:f>
        <x:v>6.891716814159298</x:v>
      </x:c>
      <x:c r="M9" s="15" t="n">
        <x:f>MAX(L9,0)*K9</x:f>
        <x:v>1.7229292035398245</x:v>
      </x:c>
      <x:c r="N9" s="22" t="n">
        <x:f>(L9-M9)*H9</x:f>
        <x:v>3.514775575221242</x:v>
      </x:c>
    </x:row>
    <x:row r="10" ht="23" customHeight="1">
      <x:c r="A10" s="2" t="str">
        <x:v>雅化集团</x:v>
      </x:c>
      <x:c r="B10" s="2" t="str">
        <x:v>卡玛蒂维</x:v>
      </x:c>
      <x:c r="C10" s="2" t="n">
        <x:v>2028</x:v>
      </x:c>
      <x:c r="D10" s="19" t="n">
        <x:f>参数与事实!F$5</x:f>
        <x:v>15</x:v>
      </x:c>
      <x:c r="E10" s="19" t="n">
        <x:f>D10/(1+参数与事实!$B$5)</x:f>
        <x:v>13.274336283185843</x:v>
      </x:c>
      <x:c r="F10" s="19" t="n">
        <x:f>MAX(参数与事实!$B$8,E10*参数与事实!$B$7-参数与事实!$B$10)</x:f>
        <x:v>9.74690265486726</x:v>
      </x:c>
      <x:c r="G10" s="19" t="n">
        <x:f>参数与事实!J27</x:f>
        <x:v>3.65</x:v>
      </x:c>
      <x:c r="H10" s="20" t="n">
        <x:f>参数与事实!C27</x:f>
        <x:v>0.68</x:v>
      </x:c>
      <x:c r="I10" s="19" t="n">
        <x:f>参数与事实!E27+参数与事实!$B$9</x:f>
        <x:v>3.3</x:v>
      </x:c>
      <x:c r="J10" s="21" t="n">
        <x:f>参数与事实!F27+参数与事实!M27</x:f>
        <x:v>0.1</x:v>
      </x:c>
      <x:c r="K10" s="21" t="n">
        <x:f>参数与事实!G27</x:f>
        <x:v>0.25</x:v>
      </x:c>
      <x:c r="L10" s="15" t="n">
        <x:f>(F10*(1-J10)-I10)*G10</x:f>
        <x:v>19.973575221238953</x:v>
      </x:c>
      <x:c r="M10" s="15" t="n">
        <x:f>MAX(L10,0)*K10</x:f>
        <x:v>4.993393805309738</x:v>
      </x:c>
      <x:c r="N10" s="22" t="n">
        <x:f>(L10-M10)*H10</x:f>
        <x:v>10.186523362831867</x:v>
      </x:c>
    </x:row>
    <x:row r="11" ht="23" customHeight="1">
      <x:c r="A11" s="2" t="str">
        <x:v>雅化集团</x:v>
      </x:c>
      <x:c r="B11" s="2" t="str">
        <x:v>卡玛蒂维</x:v>
      </x:c>
      <x:c r="C11" s="2" t="n">
        <x:v>2028</x:v>
      </x:c>
      <x:c r="D11" s="19" t="n">
        <x:f>参数与事实!G$5</x:f>
        <x:v>20</x:v>
      </x:c>
      <x:c r="E11" s="19" t="n">
        <x:f>D11/(1+参数与事实!$B$5)</x:f>
        <x:v>17.69911504424779</x:v>
      </x:c>
      <x:c r="F11" s="19" t="n">
        <x:f>MAX(参数与事实!$B$8,E11*参数与事实!$B$7-参数与事实!$B$10)</x:f>
        <x:v>13.729203539823011</x:v>
      </x:c>
      <x:c r="G11" s="19" t="n">
        <x:f>参数与事实!J27</x:f>
        <x:v>3.65</x:v>
      </x:c>
      <x:c r="H11" s="20" t="n">
        <x:f>参数与事实!C27</x:f>
        <x:v>0.68</x:v>
      </x:c>
      <x:c r="I11" s="19" t="n">
        <x:f>参数与事实!E27+参数与事实!$B$9</x:f>
        <x:v>3.3</x:v>
      </x:c>
      <x:c r="J11" s="21" t="n">
        <x:f>参数与事实!F27+参数与事实!M27</x:f>
        <x:v>0.1</x:v>
      </x:c>
      <x:c r="K11" s="21" t="n">
        <x:f>参数与事实!G27</x:f>
        <x:v>0.25</x:v>
      </x:c>
      <x:c r="L11" s="15" t="n">
        <x:f>(F11*(1-J11)-I11)*G11</x:f>
        <x:v>33.055433628318596</x:v>
      </x:c>
      <x:c r="M11" s="15" t="n">
        <x:f>MAX(L11,0)*K11</x:f>
        <x:v>8.263858407079649</x:v>
      </x:c>
      <x:c r="N11" s="22" t="n">
        <x:f>(L11-M11)*H11</x:f>
        <x:v>16.858271150442484</x:v>
      </x:c>
    </x:row>
    <x:row r="12" ht="23" customHeight="1">
      <x:c r="A12" s="2" t="str">
        <x:v>雅化集团</x:v>
      </x:c>
      <x:c r="B12" s="2" t="str">
        <x:v>卡玛蒂维</x:v>
      </x:c>
      <x:c r="C12" s="2" t="n">
        <x:v>2028</x:v>
      </x:c>
      <x:c r="D12" s="19" t="n">
        <x:f>参数与事实!H$5</x:f>
        <x:v>30</x:v>
      </x:c>
      <x:c r="E12" s="19" t="n">
        <x:f>D12/(1+参数与事实!$B$5)</x:f>
        <x:v>26.548672566371685</x:v>
      </x:c>
      <x:c r="F12" s="19" t="n">
        <x:f>MAX(参数与事实!$B$8,E12*参数与事实!$B$7-参数与事实!$B$10)</x:f>
        <x:v>21.69380530973452</x:v>
      </x:c>
      <x:c r="G12" s="19" t="n">
        <x:f>参数与事实!J27</x:f>
        <x:v>3.65</x:v>
      </x:c>
      <x:c r="H12" s="20" t="n">
        <x:f>参数与事实!C27</x:f>
        <x:v>0.68</x:v>
      </x:c>
      <x:c r="I12" s="19" t="n">
        <x:f>参数与事实!E27+参数与事实!$B$9</x:f>
        <x:v>3.3</x:v>
      </x:c>
      <x:c r="J12" s="21" t="n">
        <x:f>参数与事实!F27+参数与事实!M27</x:f>
        <x:v>0.1</x:v>
      </x:c>
      <x:c r="K12" s="21" t="n">
        <x:f>参数与事实!G27</x:f>
        <x:v>0.25</x:v>
      </x:c>
      <x:c r="L12" s="15" t="n">
        <x:f>(F12*(1-J12)-I12)*G12</x:f>
        <x:v>59.21915044247789</x:v>
      </x:c>
      <x:c r="M12" s="15" t="n">
        <x:f>MAX(L12,0)*K12</x:f>
        <x:v>14.804787610619472</x:v>
      </x:c>
      <x:c r="N12" s="22" t="n">
        <x:f>(L12-M12)*H12</x:f>
        <x:v>30.201766725663727</x:v>
      </x:c>
    </x:row>
    <x:row r="13" ht="23" customHeight="1">
      <x:c r="A13" s="2" t="str">
        <x:v>雅化集团</x:v>
      </x:c>
      <x:c r="B13" s="2" t="str">
        <x:v>卡玛蒂维</x:v>
      </x:c>
      <x:c r="C13" s="2" t="n">
        <x:v>2029</x:v>
      </x:c>
      <x:c r="D13" s="19" t="n">
        <x:f>参数与事实!E$5</x:f>
        <x:v>10</x:v>
      </x:c>
      <x:c r="E13" s="19" t="n">
        <x:f>D13/(1+参数与事实!$B$5)</x:f>
        <x:v>8.849557522123895</x:v>
      </x:c>
      <x:c r="F13" s="19" t="n">
        <x:f>MAX(参数与事实!$B$8,E13*参数与事实!$B$7-参数与事实!$B$10)</x:f>
        <x:v>5.764601769911506</x:v>
      </x:c>
      <x:c r="G13" s="19" t="n">
        <x:f>参数与事实!K27</x:f>
        <x:v>3.65</x:v>
      </x:c>
      <x:c r="H13" s="20" t="n">
        <x:f>参数与事实!C27</x:f>
        <x:v>0.68</x:v>
      </x:c>
      <x:c r="I13" s="19" t="n">
        <x:f>参数与事实!E27+参数与事实!$B$9</x:f>
        <x:v>3.3</x:v>
      </x:c>
      <x:c r="J13" s="21" t="n">
        <x:f>参数与事实!F27+参数与事实!N27</x:f>
        <x:v>0.1</x:v>
      </x:c>
      <x:c r="K13" s="21" t="n">
        <x:f>参数与事实!G27</x:f>
        <x:v>0.25</x:v>
      </x:c>
      <x:c r="L13" s="15" t="n">
        <x:f>(F13*(1-J13)-I13)*G13</x:f>
        <x:v>6.891716814159298</x:v>
      </x:c>
      <x:c r="M13" s="15" t="n">
        <x:f>MAX(L13,0)*K13</x:f>
        <x:v>1.7229292035398245</x:v>
      </x:c>
      <x:c r="N13" s="22" t="n">
        <x:f>(L13-M13)*H13</x:f>
        <x:v>3.514775575221242</x:v>
      </x:c>
    </x:row>
    <x:row r="14" ht="23" customHeight="1">
      <x:c r="A14" s="2" t="str">
        <x:v>雅化集团</x:v>
      </x:c>
      <x:c r="B14" s="2" t="str">
        <x:v>卡玛蒂维</x:v>
      </x:c>
      <x:c r="C14" s="2" t="n">
        <x:v>2029</x:v>
      </x:c>
      <x:c r="D14" s="19" t="n">
        <x:f>参数与事实!F$5</x:f>
        <x:v>15</x:v>
      </x:c>
      <x:c r="E14" s="19" t="n">
        <x:f>D14/(1+参数与事实!$B$5)</x:f>
        <x:v>13.274336283185843</x:v>
      </x:c>
      <x:c r="F14" s="19" t="n">
        <x:f>MAX(参数与事实!$B$8,E14*参数与事实!$B$7-参数与事实!$B$10)</x:f>
        <x:v>9.74690265486726</x:v>
      </x:c>
      <x:c r="G14" s="19" t="n">
        <x:f>参数与事实!K27</x:f>
        <x:v>3.65</x:v>
      </x:c>
      <x:c r="H14" s="20" t="n">
        <x:f>参数与事实!C27</x:f>
        <x:v>0.68</x:v>
      </x:c>
      <x:c r="I14" s="19" t="n">
        <x:f>参数与事实!E27+参数与事实!$B$9</x:f>
        <x:v>3.3</x:v>
      </x:c>
      <x:c r="J14" s="21" t="n">
        <x:f>参数与事实!F27+参数与事实!N27</x:f>
        <x:v>0.1</x:v>
      </x:c>
      <x:c r="K14" s="21" t="n">
        <x:f>参数与事实!G27</x:f>
        <x:v>0.25</x:v>
      </x:c>
      <x:c r="L14" s="15" t="n">
        <x:f>(F14*(1-J14)-I14)*G14</x:f>
        <x:v>19.973575221238953</x:v>
      </x:c>
      <x:c r="M14" s="15" t="n">
        <x:f>MAX(L14,0)*K14</x:f>
        <x:v>4.993393805309738</x:v>
      </x:c>
      <x:c r="N14" s="22" t="n">
        <x:f>(L14-M14)*H14</x:f>
        <x:v>10.186523362831867</x:v>
      </x:c>
    </x:row>
    <x:row r="15" ht="23" customHeight="1">
      <x:c r="A15" s="2" t="str">
        <x:v>雅化集团</x:v>
      </x:c>
      <x:c r="B15" s="2" t="str">
        <x:v>卡玛蒂维</x:v>
      </x:c>
      <x:c r="C15" s="2" t="n">
        <x:v>2029</x:v>
      </x:c>
      <x:c r="D15" s="19" t="n">
        <x:f>参数与事实!G$5</x:f>
        <x:v>20</x:v>
      </x:c>
      <x:c r="E15" s="19" t="n">
        <x:f>D15/(1+参数与事实!$B$5)</x:f>
        <x:v>17.69911504424779</x:v>
      </x:c>
      <x:c r="F15" s="19" t="n">
        <x:f>MAX(参数与事实!$B$8,E15*参数与事实!$B$7-参数与事实!$B$10)</x:f>
        <x:v>13.729203539823011</x:v>
      </x:c>
      <x:c r="G15" s="19" t="n">
        <x:f>参数与事实!K27</x:f>
        <x:v>3.65</x:v>
      </x:c>
      <x:c r="H15" s="20" t="n">
        <x:f>参数与事实!C27</x:f>
        <x:v>0.68</x:v>
      </x:c>
      <x:c r="I15" s="19" t="n">
        <x:f>参数与事实!E27+参数与事实!$B$9</x:f>
        <x:v>3.3</x:v>
      </x:c>
      <x:c r="J15" s="21" t="n">
        <x:f>参数与事实!F27+参数与事实!N27</x:f>
        <x:v>0.1</x:v>
      </x:c>
      <x:c r="K15" s="21" t="n">
        <x:f>参数与事实!G27</x:f>
        <x:v>0.25</x:v>
      </x:c>
      <x:c r="L15" s="15" t="n">
        <x:f>(F15*(1-J15)-I15)*G15</x:f>
        <x:v>33.055433628318596</x:v>
      </x:c>
      <x:c r="M15" s="15" t="n">
        <x:f>MAX(L15,0)*K15</x:f>
        <x:v>8.263858407079649</x:v>
      </x:c>
      <x:c r="N15" s="22" t="n">
        <x:f>(L15-M15)*H15</x:f>
        <x:v>16.858271150442484</x:v>
      </x:c>
    </x:row>
    <x:row r="16" ht="23" customHeight="1">
      <x:c r="A16" s="2" t="str">
        <x:v>雅化集团</x:v>
      </x:c>
      <x:c r="B16" s="2" t="str">
        <x:v>卡玛蒂维</x:v>
      </x:c>
      <x:c r="C16" s="2" t="n">
        <x:v>2029</x:v>
      </x:c>
      <x:c r="D16" s="19" t="n">
        <x:f>参数与事实!H$5</x:f>
        <x:v>30</x:v>
      </x:c>
      <x:c r="E16" s="19" t="n">
        <x:f>D16/(1+参数与事实!$B$5)</x:f>
        <x:v>26.548672566371685</x:v>
      </x:c>
      <x:c r="F16" s="19" t="n">
        <x:f>MAX(参数与事实!$B$8,E16*参数与事实!$B$7-参数与事实!$B$10)</x:f>
        <x:v>21.69380530973452</x:v>
      </x:c>
      <x:c r="G16" s="19" t="n">
        <x:f>参数与事实!K27</x:f>
        <x:v>3.65</x:v>
      </x:c>
      <x:c r="H16" s="20" t="n">
        <x:f>参数与事实!C27</x:f>
        <x:v>0.68</x:v>
      </x:c>
      <x:c r="I16" s="19" t="n">
        <x:f>参数与事实!E27+参数与事实!$B$9</x:f>
        <x:v>3.3</x:v>
      </x:c>
      <x:c r="J16" s="21" t="n">
        <x:f>参数与事实!F27+参数与事实!N27</x:f>
        <x:v>0.1</x:v>
      </x:c>
      <x:c r="K16" s="21" t="n">
        <x:f>参数与事实!G27</x:f>
        <x:v>0.25</x:v>
      </x:c>
      <x:c r="L16" s="15" t="n">
        <x:f>(F16*(1-J16)-I16)*G16</x:f>
        <x:v>59.21915044247789</x:v>
      </x:c>
      <x:c r="M16" s="15" t="n">
        <x:f>MAX(L16,0)*K16</x:f>
        <x:v>14.804787610619472</x:v>
      </x:c>
      <x:c r="N16" s="22" t="n">
        <x:f>(L16-M16)*H16</x:f>
        <x:v>30.201766725663727</x:v>
      </x:c>
    </x:row>
    <x:row r="17" ht="23" customHeight="1">
      <x:c r="A17" s="2" t="str">
        <x:v>雅化集团</x:v>
      </x:c>
      <x:c r="B17" s="2" t="str">
        <x:v>李家沟</x:v>
      </x:c>
      <x:c r="C17" s="2" t="n">
        <x:v>2027</x:v>
      </x:c>
      <x:c r="D17" s="19" t="n">
        <x:f>参数与事实!E$5</x:f>
        <x:v>10</x:v>
      </x:c>
      <x:c r="E17" s="19" t="n">
        <x:f>D17/(1+参数与事实!$B$5)</x:f>
        <x:v>8.849557522123895</x:v>
      </x:c>
      <x:c r="F17" s="19" t="n">
        <x:f>MAX(参数与事实!$B$8,E17*参数与事实!$B$7-参数与事实!$B$10)</x:f>
        <x:v>5.764601769911506</x:v>
      </x:c>
      <x:c r="G17" s="19" t="n">
        <x:f>参数与事实!I28</x:f>
        <x:v>1.8</x:v>
      </x:c>
      <x:c r="H17" s="20" t="n">
        <x:f>参数与事实!C28</x:f>
        <x:v>0.279375</x:v>
      </x:c>
      <x:c r="I17" s="19" t="n">
        <x:f>参数与事实!E28+参数与事实!$B$9</x:f>
        <x:v>2.7</x:v>
      </x:c>
      <x:c r="J17" s="21" t="n">
        <x:f>参数与事实!F28+参数与事实!L28</x:f>
        <x:v>0.045</x:v>
      </x:c>
      <x:c r="K17" s="21" t="n">
        <x:f>参数与事实!G28</x:f>
        <x:v>0.15</x:v>
      </x:c>
      <x:c r="L17" s="15" t="n">
        <x:f>(F17*(1-J17)-I17)*G17</x:f>
        <x:v>5.049350442477878</x:v>
      </x:c>
      <x:c r="M17" s="15" t="n">
        <x:f>MAX(L17,0)*K17</x:f>
        <x:v>0.7574025663716817</x:v>
      </x:c>
      <x:c r="N17" s="22" t="n">
        <x:f>(L17-M17)*H17</x:f>
        <x:v>1.1990629378871684</x:v>
      </x:c>
    </x:row>
    <x:row r="18" ht="23" customHeight="1">
      <x:c r="A18" s="2" t="str">
        <x:v>雅化集团</x:v>
      </x:c>
      <x:c r="B18" s="2" t="str">
        <x:v>李家沟</x:v>
      </x:c>
      <x:c r="C18" s="2" t="n">
        <x:v>2027</x:v>
      </x:c>
      <x:c r="D18" s="19" t="n">
        <x:f>参数与事实!F$5</x:f>
        <x:v>15</x:v>
      </x:c>
      <x:c r="E18" s="19" t="n">
        <x:f>D18/(1+参数与事实!$B$5)</x:f>
        <x:v>13.274336283185843</x:v>
      </x:c>
      <x:c r="F18" s="19" t="n">
        <x:f>MAX(参数与事实!$B$8,E18*参数与事实!$B$7-参数与事实!$B$10)</x:f>
        <x:v>9.74690265486726</x:v>
      </x:c>
      <x:c r="G18" s="19" t="n">
        <x:f>参数与事实!I28</x:f>
        <x:v>1.8</x:v>
      </x:c>
      <x:c r="H18" s="20" t="n">
        <x:f>参数与事实!C28</x:f>
        <x:v>0.279375</x:v>
      </x:c>
      <x:c r="I18" s="19" t="n">
        <x:f>参数与事实!E28+参数与事实!$B$9</x:f>
        <x:v>2.7</x:v>
      </x:c>
      <x:c r="J18" s="21" t="n">
        <x:f>参数与事实!F28+参数与事实!L28</x:f>
        <x:v>0.045</x:v>
      </x:c>
      <x:c r="K18" s="21" t="n">
        <x:f>参数与事实!G28</x:f>
        <x:v>0.15</x:v>
      </x:c>
      <x:c r="L18" s="15" t="n">
        <x:f>(F18*(1-J18)-I18)*G18</x:f>
        <x:v>11.894925663716817</x:v>
      </x:c>
      <x:c r="M18" s="15" t="n">
        <x:f>MAX(L18,0)*K18</x:f>
        <x:v>1.7842388495575225</x:v>
      </x:c>
      <x:c r="N18" s="22" t="n">
        <x:f>(L18-M18)*H18</x:f>
        <x:v>2.8246731287057525</x:v>
      </x:c>
    </x:row>
    <x:row r="19" ht="23" customHeight="1">
      <x:c r="A19" s="2" t="str">
        <x:v>雅化集团</x:v>
      </x:c>
      <x:c r="B19" s="2" t="str">
        <x:v>李家沟</x:v>
      </x:c>
      <x:c r="C19" s="2" t="n">
        <x:v>2027</x:v>
      </x:c>
      <x:c r="D19" s="19" t="n">
        <x:f>参数与事实!G$5</x:f>
        <x:v>20</x:v>
      </x:c>
      <x:c r="E19" s="19" t="n">
        <x:f>D19/(1+参数与事实!$B$5)</x:f>
        <x:v>17.69911504424779</x:v>
      </x:c>
      <x:c r="F19" s="19" t="n">
        <x:f>MAX(参数与事实!$B$8,E19*参数与事实!$B$7-参数与事实!$B$10)</x:f>
        <x:v>13.729203539823011</x:v>
      </x:c>
      <x:c r="G19" s="19" t="n">
        <x:f>参数与事实!I28</x:f>
        <x:v>1.8</x:v>
      </x:c>
      <x:c r="H19" s="20" t="n">
        <x:f>参数与事实!C28</x:f>
        <x:v>0.279375</x:v>
      </x:c>
      <x:c r="I19" s="19" t="n">
        <x:f>参数与事实!E28+参数与事实!$B$9</x:f>
        <x:v>2.7</x:v>
      </x:c>
      <x:c r="J19" s="21" t="n">
        <x:f>参数与事实!F28+参数与事实!L28</x:f>
        <x:v>0.045</x:v>
      </x:c>
      <x:c r="K19" s="21" t="n">
        <x:f>参数与事实!G28</x:f>
        <x:v>0.15</x:v>
      </x:c>
      <x:c r="L19" s="15" t="n">
        <x:f>(F19*(1-J19)-I19)*G19</x:f>
        <x:v>18.740500884955754</x:v>
      </x:c>
      <x:c r="M19" s="15" t="n">
        <x:f>MAX(L19,0)*K19</x:f>
        <x:v>2.811075132743363</x:v>
      </x:c>
      <x:c r="N19" s="22" t="n">
        <x:f>(L19-M19)*H19</x:f>
        <x:v>4.4502833195243365</x:v>
      </x:c>
    </x:row>
    <x:row r="20" ht="23" customHeight="1">
      <x:c r="A20" s="2" t="str">
        <x:v>雅化集团</x:v>
      </x:c>
      <x:c r="B20" s="2" t="str">
        <x:v>李家沟</x:v>
      </x:c>
      <x:c r="C20" s="2" t="n">
        <x:v>2027</x:v>
      </x:c>
      <x:c r="D20" s="19" t="n">
        <x:f>参数与事实!H$5</x:f>
        <x:v>30</x:v>
      </x:c>
      <x:c r="E20" s="19" t="n">
        <x:f>D20/(1+参数与事实!$B$5)</x:f>
        <x:v>26.548672566371685</x:v>
      </x:c>
      <x:c r="F20" s="19" t="n">
        <x:f>MAX(参数与事实!$B$8,E20*参数与事实!$B$7-参数与事实!$B$10)</x:f>
        <x:v>21.69380530973452</x:v>
      </x:c>
      <x:c r="G20" s="19" t="n">
        <x:f>参数与事实!I28</x:f>
        <x:v>1.8</x:v>
      </x:c>
      <x:c r="H20" s="20" t="n">
        <x:f>参数与事实!C28</x:f>
        <x:v>0.279375</x:v>
      </x:c>
      <x:c r="I20" s="19" t="n">
        <x:f>参数与事实!E28+参数与事实!$B$9</x:f>
        <x:v>2.7</x:v>
      </x:c>
      <x:c r="J20" s="21" t="n">
        <x:f>参数与事实!F28+参数与事实!L28</x:f>
        <x:v>0.045</x:v>
      </x:c>
      <x:c r="K20" s="21" t="n">
        <x:f>参数与事实!G28</x:f>
        <x:v>0.15</x:v>
      </x:c>
      <x:c r="L20" s="15" t="n">
        <x:f>(F20*(1-J20)-I20)*G20</x:f>
        <x:v>32.431651327433634</x:v>
      </x:c>
      <x:c r="M20" s="15" t="n">
        <x:f>MAX(L20,0)*K20</x:f>
        <x:v>4.864747699115045</x:v>
      </x:c>
      <x:c r="N20" s="22" t="n">
        <x:f>(L20-M20)*H20</x:f>
        <x:v>7.7015037011615055</x:v>
      </x:c>
    </x:row>
    <x:row r="21" ht="23" customHeight="1">
      <x:c r="A21" s="2" t="str">
        <x:v>雅化集团</x:v>
      </x:c>
      <x:c r="B21" s="2" t="str">
        <x:v>李家沟</x:v>
      </x:c>
      <x:c r="C21" s="2" t="n">
        <x:v>2028</x:v>
      </x:c>
      <x:c r="D21" s="19" t="n">
        <x:f>参数与事实!E$5</x:f>
        <x:v>10</x:v>
      </x:c>
      <x:c r="E21" s="19" t="n">
        <x:f>D21/(1+参数与事实!$B$5)</x:f>
        <x:v>8.849557522123895</x:v>
      </x:c>
      <x:c r="F21" s="19" t="n">
        <x:f>MAX(参数与事实!$B$8,E21*参数与事实!$B$7-参数与事实!$B$10)</x:f>
        <x:v>5.764601769911506</x:v>
      </x:c>
      <x:c r="G21" s="19" t="n">
        <x:f>参数与事实!J28</x:f>
        <x:v>1.875</x:v>
      </x:c>
      <x:c r="H21" s="20" t="n">
        <x:f>参数与事实!C28</x:f>
        <x:v>0.279375</x:v>
      </x:c>
      <x:c r="I21" s="19" t="n">
        <x:f>参数与事实!E28+参数与事实!$B$9</x:f>
        <x:v>2.7</x:v>
      </x:c>
      <x:c r="J21" s="21" t="n">
        <x:f>参数与事实!F28+参数与事实!M28</x:f>
        <x:v>0.045</x:v>
      </x:c>
      <x:c r="K21" s="21" t="n">
        <x:f>参数与事实!G28</x:f>
        <x:v>0.15</x:v>
      </x:c>
      <x:c r="L21" s="15" t="n">
        <x:f>(F21*(1-J21)-I21)*G21</x:f>
        <x:v>5.259740044247789</x:v>
      </x:c>
      <x:c r="M21" s="15" t="n">
        <x:f>MAX(L21,0)*K21</x:f>
        <x:v>0.7889610066371684</x:v>
      </x:c>
      <x:c r="N21" s="22" t="n">
        <x:f>(L21-M21)*H21</x:f>
        <x:v>1.2490238936324671</x:v>
      </x:c>
    </x:row>
    <x:row r="22" ht="23" customHeight="1">
      <x:c r="A22" s="2" t="str">
        <x:v>雅化集团</x:v>
      </x:c>
      <x:c r="B22" s="2" t="str">
        <x:v>李家沟</x:v>
      </x:c>
      <x:c r="C22" s="2" t="n">
        <x:v>2028</x:v>
      </x:c>
      <x:c r="D22" s="19" t="n">
        <x:f>参数与事实!F$5</x:f>
        <x:v>15</x:v>
      </x:c>
      <x:c r="E22" s="19" t="n">
        <x:f>D22/(1+参数与事实!$B$5)</x:f>
        <x:v>13.274336283185843</x:v>
      </x:c>
      <x:c r="F22" s="19" t="n">
        <x:f>MAX(参数与事实!$B$8,E22*参数与事实!$B$7-参数与事实!$B$10)</x:f>
        <x:v>9.74690265486726</x:v>
      </x:c>
      <x:c r="G22" s="19" t="n">
        <x:f>参数与事实!J28</x:f>
        <x:v>1.875</x:v>
      </x:c>
      <x:c r="H22" s="20" t="n">
        <x:f>参数与事实!C28</x:f>
        <x:v>0.279375</x:v>
      </x:c>
      <x:c r="I22" s="19" t="n">
        <x:f>参数与事实!E28+参数与事实!$B$9</x:f>
        <x:v>2.7</x:v>
      </x:c>
      <x:c r="J22" s="21" t="n">
        <x:f>参数与事实!F28+参数与事实!M28</x:f>
        <x:v>0.045</x:v>
      </x:c>
      <x:c r="K22" s="21" t="n">
        <x:f>参数与事实!G28</x:f>
        <x:v>0.15</x:v>
      </x:c>
      <x:c r="L22" s="15" t="n">
        <x:f>(F22*(1-J22)-I22)*G22</x:f>
        <x:v>12.390547566371684</x:v>
      </x:c>
      <x:c r="M22" s="15" t="n">
        <x:f>MAX(L22,0)*K22</x:f>
        <x:v>1.8585821349557525</x:v>
      </x:c>
      <x:c r="N22" s="22" t="n">
        <x:f>(L22-M22)*H22</x:f>
        <x:v>2.942367842401825</x:v>
      </x:c>
    </x:row>
    <x:row r="23" ht="23" customHeight="1">
      <x:c r="A23" s="2" t="str">
        <x:v>雅化集团</x:v>
      </x:c>
      <x:c r="B23" s="2" t="str">
        <x:v>李家沟</x:v>
      </x:c>
      <x:c r="C23" s="2" t="n">
        <x:v>2028</x:v>
      </x:c>
      <x:c r="D23" s="19" t="n">
        <x:f>参数与事实!G$5</x:f>
        <x:v>20</x:v>
      </x:c>
      <x:c r="E23" s="19" t="n">
        <x:f>D23/(1+参数与事实!$B$5)</x:f>
        <x:v>17.69911504424779</x:v>
      </x:c>
      <x:c r="F23" s="19" t="n">
        <x:f>MAX(参数与事实!$B$8,E23*参数与事实!$B$7-参数与事实!$B$10)</x:f>
        <x:v>13.729203539823011</x:v>
      </x:c>
      <x:c r="G23" s="19" t="n">
        <x:f>参数与事实!J28</x:f>
        <x:v>1.875</x:v>
      </x:c>
      <x:c r="H23" s="20" t="n">
        <x:f>参数与事实!C28</x:f>
        <x:v>0.279375</x:v>
      </x:c>
      <x:c r="I23" s="19" t="n">
        <x:f>参数与事实!E28+参数与事实!$B$9</x:f>
        <x:v>2.7</x:v>
      </x:c>
      <x:c r="J23" s="21" t="n">
        <x:f>参数与事实!F28+参数与事实!M28</x:f>
        <x:v>0.045</x:v>
      </x:c>
      <x:c r="K23" s="21" t="n">
        <x:f>参数与事实!G28</x:f>
        <x:v>0.15</x:v>
      </x:c>
      <x:c r="L23" s="15" t="n">
        <x:f>(F23*(1-J23)-I23)*G23</x:f>
        <x:v>19.521355088495575</x:v>
      </x:c>
      <x:c r="M23" s="15" t="n">
        <x:f>MAX(L23,0)*K23</x:f>
        <x:v>2.928203263274336</x:v>
      </x:c>
      <x:c r="N23" s="22" t="n">
        <x:f>(L23-M23)*H23</x:f>
        <x:v>4.635711791171183</x:v>
      </x:c>
    </x:row>
    <x:row r="24" ht="23" customHeight="1">
      <x:c r="A24" s="2" t="str">
        <x:v>雅化集团</x:v>
      </x:c>
      <x:c r="B24" s="2" t="str">
        <x:v>李家沟</x:v>
      </x:c>
      <x:c r="C24" s="2" t="n">
        <x:v>2028</x:v>
      </x:c>
      <x:c r="D24" s="19" t="n">
        <x:f>参数与事实!H$5</x:f>
        <x:v>30</x:v>
      </x:c>
      <x:c r="E24" s="19" t="n">
        <x:f>D24/(1+参数与事实!$B$5)</x:f>
        <x:v>26.548672566371685</x:v>
      </x:c>
      <x:c r="F24" s="19" t="n">
        <x:f>MAX(参数与事实!$B$8,E24*参数与事实!$B$7-参数与事实!$B$10)</x:f>
        <x:v>21.69380530973452</x:v>
      </x:c>
      <x:c r="G24" s="19" t="n">
        <x:f>参数与事实!J28</x:f>
        <x:v>1.875</x:v>
      </x:c>
      <x:c r="H24" s="20" t="n">
        <x:f>参数与事实!C28</x:f>
        <x:v>0.279375</x:v>
      </x:c>
      <x:c r="I24" s="19" t="n">
        <x:f>参数与事实!E28+参数与事实!$B$9</x:f>
        <x:v>2.7</x:v>
      </x:c>
      <x:c r="J24" s="21" t="n">
        <x:f>参数与事实!F28+参数与事实!M28</x:f>
        <x:v>0.045</x:v>
      </x:c>
      <x:c r="K24" s="21" t="n">
        <x:f>参数与事实!G28</x:f>
        <x:v>0.15</x:v>
      </x:c>
      <x:c r="L24" s="15" t="n">
        <x:f>(F24*(1-J24)-I24)*G24</x:f>
        <x:v>33.782970132743365</x:v>
      </x:c>
      <x:c r="M24" s="15" t="n">
        <x:f>MAX(L24,0)*K24</x:f>
        <x:v>5.067445519911504</x:v>
      </x:c>
      <x:c r="N24" s="22" t="n">
        <x:f>(L24-M24)*H24</x:f>
        <x:v>8.0223996887099</x:v>
      </x:c>
    </x:row>
    <x:row r="25" ht="23" customHeight="1">
      <x:c r="A25" s="2" t="str">
        <x:v>雅化集团</x:v>
      </x:c>
      <x:c r="B25" s="2" t="str">
        <x:v>李家沟</x:v>
      </x:c>
      <x:c r="C25" s="2" t="n">
        <x:v>2029</x:v>
      </x:c>
      <x:c r="D25" s="19" t="n">
        <x:f>参数与事实!E$5</x:f>
        <x:v>10</x:v>
      </x:c>
      <x:c r="E25" s="19" t="n">
        <x:f>D25/(1+参数与事实!$B$5)</x:f>
        <x:v>8.849557522123895</x:v>
      </x:c>
      <x:c r="F25" s="19" t="n">
        <x:f>MAX(参数与事实!$B$8,E25*参数与事实!$B$7-参数与事实!$B$10)</x:f>
        <x:v>5.764601769911506</x:v>
      </x:c>
      <x:c r="G25" s="19" t="n">
        <x:f>参数与事实!K28</x:f>
        <x:v>1.875</x:v>
      </x:c>
      <x:c r="H25" s="20" t="n">
        <x:f>参数与事实!C28</x:f>
        <x:v>0.279375</x:v>
      </x:c>
      <x:c r="I25" s="19" t="n">
        <x:f>参数与事实!E28+参数与事实!$B$9</x:f>
        <x:v>2.7</x:v>
      </x:c>
      <x:c r="J25" s="21" t="n">
        <x:f>参数与事实!F28+参数与事实!N28</x:f>
        <x:v>0.045</x:v>
      </x:c>
      <x:c r="K25" s="21" t="n">
        <x:f>参数与事实!G28</x:f>
        <x:v>0.15</x:v>
      </x:c>
      <x:c r="L25" s="15" t="n">
        <x:f>(F25*(1-J25)-I25)*G25</x:f>
        <x:v>5.259740044247789</x:v>
      </x:c>
      <x:c r="M25" s="15" t="n">
        <x:f>MAX(L25,0)*K25</x:f>
        <x:v>0.7889610066371684</x:v>
      </x:c>
      <x:c r="N25" s="22" t="n">
        <x:f>(L25-M25)*H25</x:f>
        <x:v>1.2490238936324671</x:v>
      </x:c>
    </x:row>
    <x:row r="26" ht="23" customHeight="1">
      <x:c r="A26" s="2" t="str">
        <x:v>雅化集团</x:v>
      </x:c>
      <x:c r="B26" s="2" t="str">
        <x:v>李家沟</x:v>
      </x:c>
      <x:c r="C26" s="2" t="n">
        <x:v>2029</x:v>
      </x:c>
      <x:c r="D26" s="19" t="n">
        <x:f>参数与事实!F$5</x:f>
        <x:v>15</x:v>
      </x:c>
      <x:c r="E26" s="19" t="n">
        <x:f>D26/(1+参数与事实!$B$5)</x:f>
        <x:v>13.274336283185843</x:v>
      </x:c>
      <x:c r="F26" s="19" t="n">
        <x:f>MAX(参数与事实!$B$8,E26*参数与事实!$B$7-参数与事实!$B$10)</x:f>
        <x:v>9.74690265486726</x:v>
      </x:c>
      <x:c r="G26" s="19" t="n">
        <x:f>参数与事实!K28</x:f>
        <x:v>1.875</x:v>
      </x:c>
      <x:c r="H26" s="20" t="n">
        <x:f>参数与事实!C28</x:f>
        <x:v>0.279375</x:v>
      </x:c>
      <x:c r="I26" s="19" t="n">
        <x:f>参数与事实!E28+参数与事实!$B$9</x:f>
        <x:v>2.7</x:v>
      </x:c>
      <x:c r="J26" s="21" t="n">
        <x:f>参数与事实!F28+参数与事实!N28</x:f>
        <x:v>0.045</x:v>
      </x:c>
      <x:c r="K26" s="21" t="n">
        <x:f>参数与事实!G28</x:f>
        <x:v>0.15</x:v>
      </x:c>
      <x:c r="L26" s="15" t="n">
        <x:f>(F26*(1-J26)-I26)*G26</x:f>
        <x:v>12.390547566371684</x:v>
      </x:c>
      <x:c r="M26" s="15" t="n">
        <x:f>MAX(L26,0)*K26</x:f>
        <x:v>1.8585821349557525</x:v>
      </x:c>
      <x:c r="N26" s="22" t="n">
        <x:f>(L26-M26)*H26</x:f>
        <x:v>2.942367842401825</x:v>
      </x:c>
    </x:row>
    <x:row r="27" ht="23" customHeight="1">
      <x:c r="A27" s="2" t="str">
        <x:v>雅化集团</x:v>
      </x:c>
      <x:c r="B27" s="2" t="str">
        <x:v>李家沟</x:v>
      </x:c>
      <x:c r="C27" s="2" t="n">
        <x:v>2029</x:v>
      </x:c>
      <x:c r="D27" s="19" t="n">
        <x:f>参数与事实!G$5</x:f>
        <x:v>20</x:v>
      </x:c>
      <x:c r="E27" s="19" t="n">
        <x:f>D27/(1+参数与事实!$B$5)</x:f>
        <x:v>17.69911504424779</x:v>
      </x:c>
      <x:c r="F27" s="19" t="n">
        <x:f>MAX(参数与事实!$B$8,E27*参数与事实!$B$7-参数与事实!$B$10)</x:f>
        <x:v>13.729203539823011</x:v>
      </x:c>
      <x:c r="G27" s="19" t="n">
        <x:f>参数与事实!K28</x:f>
        <x:v>1.875</x:v>
      </x:c>
      <x:c r="H27" s="20" t="n">
        <x:f>参数与事实!C28</x:f>
        <x:v>0.279375</x:v>
      </x:c>
      <x:c r="I27" s="19" t="n">
        <x:f>参数与事实!E28+参数与事实!$B$9</x:f>
        <x:v>2.7</x:v>
      </x:c>
      <x:c r="J27" s="21" t="n">
        <x:f>参数与事实!F28+参数与事实!N28</x:f>
        <x:v>0.045</x:v>
      </x:c>
      <x:c r="K27" s="21" t="n">
        <x:f>参数与事实!G28</x:f>
        <x:v>0.15</x:v>
      </x:c>
      <x:c r="L27" s="15" t="n">
        <x:f>(F27*(1-J27)-I27)*G27</x:f>
        <x:v>19.521355088495575</x:v>
      </x:c>
      <x:c r="M27" s="15" t="n">
        <x:f>MAX(L27,0)*K27</x:f>
        <x:v>2.928203263274336</x:v>
      </x:c>
      <x:c r="N27" s="22" t="n">
        <x:f>(L27-M27)*H27</x:f>
        <x:v>4.635711791171183</x:v>
      </x:c>
    </x:row>
    <x:row r="28" ht="23" customHeight="1">
      <x:c r="A28" s="2" t="str">
        <x:v>雅化集团</x:v>
      </x:c>
      <x:c r="B28" s="2" t="str">
        <x:v>李家沟</x:v>
      </x:c>
      <x:c r="C28" s="2" t="n">
        <x:v>2029</x:v>
      </x:c>
      <x:c r="D28" s="19" t="n">
        <x:f>参数与事实!H$5</x:f>
        <x:v>30</x:v>
      </x:c>
      <x:c r="E28" s="19" t="n">
        <x:f>D28/(1+参数与事实!$B$5)</x:f>
        <x:v>26.548672566371685</x:v>
      </x:c>
      <x:c r="F28" s="19" t="n">
        <x:f>MAX(参数与事实!$B$8,E28*参数与事实!$B$7-参数与事实!$B$10)</x:f>
        <x:v>21.69380530973452</x:v>
      </x:c>
      <x:c r="G28" s="19" t="n">
        <x:f>参数与事实!K28</x:f>
        <x:v>1.875</x:v>
      </x:c>
      <x:c r="H28" s="20" t="n">
        <x:f>参数与事实!C28</x:f>
        <x:v>0.279375</x:v>
      </x:c>
      <x:c r="I28" s="19" t="n">
        <x:f>参数与事实!E28+参数与事实!$B$9</x:f>
        <x:v>2.7</x:v>
      </x:c>
      <x:c r="J28" s="21" t="n">
        <x:f>参数与事实!F28+参数与事实!N28</x:f>
        <x:v>0.045</x:v>
      </x:c>
      <x:c r="K28" s="21" t="n">
        <x:f>参数与事实!G28</x:f>
        <x:v>0.15</x:v>
      </x:c>
      <x:c r="L28" s="15" t="n">
        <x:f>(F28*(1-J28)-I28)*G28</x:f>
        <x:v>33.782970132743365</x:v>
      </x:c>
      <x:c r="M28" s="15" t="n">
        <x:f>MAX(L28,0)*K28</x:f>
        <x:v>5.067445519911504</x:v>
      </x:c>
      <x:c r="N28" s="22" t="n">
        <x:f>(L28-M28)*H28</x:f>
        <x:v>8.0223996887099</x:v>
      </x:c>
    </x:row>
    <x:row r="29" ht="23" customHeight="1">
      <x:c r="A29" s="2" t="str">
        <x:v>盛新锂能</x:v>
      </x:c>
      <x:c r="B29" s="2" t="str">
        <x:v>萨比星</x:v>
      </x:c>
      <x:c r="C29" s="2" t="n">
        <x:v>2027</x:v>
      </x:c>
      <x:c r="D29" s="19" t="n">
        <x:f>参数与事实!E$5</x:f>
        <x:v>10</x:v>
      </x:c>
      <x:c r="E29" s="19" t="n">
        <x:f>D29/(1+参数与事实!$B$5)</x:f>
        <x:v>8.849557522123895</x:v>
      </x:c>
      <x:c r="F29" s="19" t="n">
        <x:f>MAX(参数与事实!$B$8,E29*参数与事实!$B$7-参数与事实!$B$10)</x:f>
        <x:v>5.764601769911506</x:v>
      </x:c>
      <x:c r="G29" s="19" t="n">
        <x:f>参数与事实!I29</x:f>
        <x:v>3</x:v>
      </x:c>
      <x:c r="H29" s="20" t="n">
        <x:f>参数与事实!C29</x:f>
        <x:v>1</x:v>
      </x:c>
      <x:c r="I29" s="19" t="n">
        <x:f>参数与事实!E29+参数与事实!$B$9</x:f>
        <x:v>3.5</x:v>
      </x:c>
      <x:c r="J29" s="21" t="n">
        <x:f>参数与事实!F29+参数与事实!L29</x:f>
        <x:v>0.15000000000000002</x:v>
      </x:c>
      <x:c r="K29" s="21" t="n">
        <x:f>参数与事实!G29</x:f>
        <x:v>0.25</x:v>
      </x:c>
      <x:c r="L29" s="15" t="n">
        <x:f>(F29*(1-J29)-I29)*G29</x:f>
        <x:v>4.199734513274339</x:v>
      </x:c>
      <x:c r="M29" s="15" t="n">
        <x:f>MAX(L29,0)*K29</x:f>
        <x:v>1.0499336283185847</x:v>
      </x:c>
      <x:c r="N29" s="22" t="n">
        <x:f>(L29-M29)*H29</x:f>
        <x:v>3.149800884955754</x:v>
      </x:c>
    </x:row>
    <x:row r="30" ht="23" customHeight="1">
      <x:c r="A30" s="2" t="str">
        <x:v>盛新锂能</x:v>
      </x:c>
      <x:c r="B30" s="2" t="str">
        <x:v>萨比星</x:v>
      </x:c>
      <x:c r="C30" s="2" t="n">
        <x:v>2027</x:v>
      </x:c>
      <x:c r="D30" s="19" t="n">
        <x:f>参数与事实!F$5</x:f>
        <x:v>15</x:v>
      </x:c>
      <x:c r="E30" s="19" t="n">
        <x:f>D30/(1+参数与事实!$B$5)</x:f>
        <x:v>13.274336283185843</x:v>
      </x:c>
      <x:c r="F30" s="19" t="n">
        <x:f>MAX(参数与事实!$B$8,E30*参数与事实!$B$7-参数与事实!$B$10)</x:f>
        <x:v>9.74690265486726</x:v>
      </x:c>
      <x:c r="G30" s="19" t="n">
        <x:f>参数与事实!I29</x:f>
        <x:v>3</x:v>
      </x:c>
      <x:c r="H30" s="20" t="n">
        <x:f>参数与事实!C29</x:f>
        <x:v>1</x:v>
      </x:c>
      <x:c r="I30" s="19" t="n">
        <x:f>参数与事实!E29+参数与事实!$B$9</x:f>
        <x:v>3.5</x:v>
      </x:c>
      <x:c r="J30" s="21" t="n">
        <x:f>参数与事实!F29+参数与事实!L29</x:f>
        <x:v>0.15000000000000002</x:v>
      </x:c>
      <x:c r="K30" s="21" t="n">
        <x:f>参数与事实!G29</x:f>
        <x:v>0.25</x:v>
      </x:c>
      <x:c r="L30" s="15" t="n">
        <x:f>(F30*(1-J30)-I30)*G30</x:f>
        <x:v>14.354601769911511</x:v>
      </x:c>
      <x:c r="M30" s="15" t="n">
        <x:f>MAX(L30,0)*K30</x:f>
        <x:v>3.588650442477878</x:v>
      </x:c>
      <x:c r="N30" s="22" t="n">
        <x:f>(L30-M30)*H30</x:f>
        <x:v>10.765951327433633</x:v>
      </x:c>
    </x:row>
    <x:row r="31" ht="23" customHeight="1">
      <x:c r="A31" s="2" t="str">
        <x:v>盛新锂能</x:v>
      </x:c>
      <x:c r="B31" s="2" t="str">
        <x:v>萨比星</x:v>
      </x:c>
      <x:c r="C31" s="2" t="n">
        <x:v>2027</x:v>
      </x:c>
      <x:c r="D31" s="19" t="n">
        <x:f>参数与事实!G$5</x:f>
        <x:v>20</x:v>
      </x:c>
      <x:c r="E31" s="19" t="n">
        <x:f>D31/(1+参数与事实!$B$5)</x:f>
        <x:v>17.69911504424779</x:v>
      </x:c>
      <x:c r="F31" s="19" t="n">
        <x:f>MAX(参数与事实!$B$8,E31*参数与事实!$B$7-参数与事实!$B$10)</x:f>
        <x:v>13.729203539823011</x:v>
      </x:c>
      <x:c r="G31" s="19" t="n">
        <x:f>参数与事实!I29</x:f>
        <x:v>3</x:v>
      </x:c>
      <x:c r="H31" s="20" t="n">
        <x:f>参数与事实!C29</x:f>
        <x:v>1</x:v>
      </x:c>
      <x:c r="I31" s="19" t="n">
        <x:f>参数与事实!E29+参数与事实!$B$9</x:f>
        <x:v>3.5</x:v>
      </x:c>
      <x:c r="J31" s="21" t="n">
        <x:f>参数与事实!F29+参数与事实!L29</x:f>
        <x:v>0.15000000000000002</x:v>
      </x:c>
      <x:c r="K31" s="21" t="n">
        <x:f>参数与事实!G29</x:f>
        <x:v>0.25</x:v>
      </x:c>
      <x:c r="L31" s="15" t="n">
        <x:f>(F31*(1-J31)-I31)*G31</x:f>
        <x:v>24.509469026548675</x:v>
      </x:c>
      <x:c r="M31" s="15" t="n">
        <x:f>MAX(L31,0)*K31</x:f>
        <x:v>6.127367256637169</x:v>
      </x:c>
      <x:c r="N31" s="22" t="n">
        <x:f>(L31-M31)*H31</x:f>
        <x:v>18.382101769911507</x:v>
      </x:c>
    </x:row>
    <x:row r="32" ht="23" customHeight="1">
      <x:c r="A32" s="2" t="str">
        <x:v>盛新锂能</x:v>
      </x:c>
      <x:c r="B32" s="2" t="str">
        <x:v>萨比星</x:v>
      </x:c>
      <x:c r="C32" s="2" t="n">
        <x:v>2027</x:v>
      </x:c>
      <x:c r="D32" s="19" t="n">
        <x:f>参数与事实!H$5</x:f>
        <x:v>30</x:v>
      </x:c>
      <x:c r="E32" s="19" t="n">
        <x:f>D32/(1+参数与事实!$B$5)</x:f>
        <x:v>26.548672566371685</x:v>
      </x:c>
      <x:c r="F32" s="19" t="n">
        <x:f>MAX(参数与事实!$B$8,E32*参数与事实!$B$7-参数与事实!$B$10)</x:f>
        <x:v>21.69380530973452</x:v>
      </x:c>
      <x:c r="G32" s="19" t="n">
        <x:f>参数与事实!I29</x:f>
        <x:v>3</x:v>
      </x:c>
      <x:c r="H32" s="20" t="n">
        <x:f>参数与事实!C29</x:f>
        <x:v>1</x:v>
      </x:c>
      <x:c r="I32" s="19" t="n">
        <x:f>参数与事实!E29+参数与事实!$B$9</x:f>
        <x:v>3.5</x:v>
      </x:c>
      <x:c r="J32" s="21" t="n">
        <x:f>参数与事实!F29+参数与事实!L29</x:f>
        <x:v>0.15000000000000002</x:v>
      </x:c>
      <x:c r="K32" s="21" t="n">
        <x:f>参数与事实!G29</x:f>
        <x:v>0.25</x:v>
      </x:c>
      <x:c r="L32" s="15" t="n">
        <x:f>(F32*(1-J32)-I32)*G32</x:f>
        <x:v>44.81920353982302</x:v>
      </x:c>
      <x:c r="M32" s="15" t="n">
        <x:f>MAX(L32,0)*K32</x:f>
        <x:v>11.204800884955755</x:v>
      </x:c>
      <x:c r="N32" s="22" t="n">
        <x:f>(L32-M32)*H32</x:f>
        <x:v>33.61440265486726</x:v>
      </x:c>
    </x:row>
    <x:row r="33" ht="23" customHeight="1">
      <x:c r="A33" s="2" t="str">
        <x:v>盛新锂能</x:v>
      </x:c>
      <x:c r="B33" s="2" t="str">
        <x:v>萨比星</x:v>
      </x:c>
      <x:c r="C33" s="2" t="n">
        <x:v>2028</x:v>
      </x:c>
      <x:c r="D33" s="19" t="n">
        <x:f>参数与事实!E$5</x:f>
        <x:v>10</x:v>
      </x:c>
      <x:c r="E33" s="19" t="n">
        <x:f>D33/(1+参数与事实!$B$5)</x:f>
        <x:v>8.849557522123895</x:v>
      </x:c>
      <x:c r="F33" s="19" t="n">
        <x:f>MAX(参数与事实!$B$8,E33*参数与事实!$B$7-参数与事实!$B$10)</x:f>
        <x:v>5.764601769911506</x:v>
      </x:c>
      <x:c r="G33" s="19" t="n">
        <x:f>参数与事实!J29</x:f>
        <x:v>3.2</x:v>
      </x:c>
      <x:c r="H33" s="20" t="n">
        <x:f>参数与事实!C29</x:f>
        <x:v>1</x:v>
      </x:c>
      <x:c r="I33" s="19" t="n">
        <x:f>参数与事实!E29+参数与事实!$B$9</x:f>
        <x:v>3.5</x:v>
      </x:c>
      <x:c r="J33" s="21" t="n">
        <x:f>参数与事实!F29+参数与事实!M29</x:f>
        <x:v>0.1</x:v>
      </x:c>
      <x:c r="K33" s="21" t="n">
        <x:f>参数与事实!G29</x:f>
        <x:v>0.25</x:v>
      </x:c>
      <x:c r="L33" s="15" t="n">
        <x:f>(F33*(1-J33)-I33)*G33</x:f>
        <x:v>5.402053097345138</x:v>
      </x:c>
      <x:c r="M33" s="15" t="n">
        <x:f>MAX(L33,0)*K33</x:f>
        <x:v>1.3505132743362844</x:v>
      </x:c>
      <x:c r="N33" s="22" t="n">
        <x:f>(L33-M33)*H33</x:f>
        <x:v>4.051539823008853</x:v>
      </x:c>
    </x:row>
    <x:row r="34" ht="23" customHeight="1">
      <x:c r="A34" s="2" t="str">
        <x:v>盛新锂能</x:v>
      </x:c>
      <x:c r="B34" s="2" t="str">
        <x:v>萨比星</x:v>
      </x:c>
      <x:c r="C34" s="2" t="n">
        <x:v>2028</x:v>
      </x:c>
      <x:c r="D34" s="19" t="n">
        <x:f>参数与事实!F$5</x:f>
        <x:v>15</x:v>
      </x:c>
      <x:c r="E34" s="19" t="n">
        <x:f>D34/(1+参数与事实!$B$5)</x:f>
        <x:v>13.274336283185843</x:v>
      </x:c>
      <x:c r="F34" s="19" t="n">
        <x:f>MAX(参数与事实!$B$8,E34*参数与事实!$B$7-参数与事实!$B$10)</x:f>
        <x:v>9.74690265486726</x:v>
      </x:c>
      <x:c r="G34" s="19" t="n">
        <x:f>参数与事实!J29</x:f>
        <x:v>3.2</x:v>
      </x:c>
      <x:c r="H34" s="20" t="n">
        <x:f>参数与事实!C29</x:f>
        <x:v>1</x:v>
      </x:c>
      <x:c r="I34" s="19" t="n">
        <x:f>参数与事实!E29+参数与事实!$B$9</x:f>
        <x:v>3.5</x:v>
      </x:c>
      <x:c r="J34" s="21" t="n">
        <x:f>参数与事实!F29+参数与事实!M29</x:f>
        <x:v>0.1</x:v>
      </x:c>
      <x:c r="K34" s="21" t="n">
        <x:f>参数与事实!G29</x:f>
        <x:v>0.25</x:v>
      </x:c>
      <x:c r="L34" s="15" t="n">
        <x:f>(F34*(1-J34)-I34)*G34</x:f>
        <x:v>16.871079646017712</x:v>
      </x:c>
      <x:c r="M34" s="15" t="n">
        <x:f>MAX(L34,0)*K34</x:f>
        <x:v>4.217769911504428</x:v>
      </x:c>
      <x:c r="N34" s="22" t="n">
        <x:f>(L34-M34)*H34</x:f>
        <x:v>12.653309734513284</x:v>
      </x:c>
    </x:row>
    <x:row r="35" ht="23" customHeight="1">
      <x:c r="A35" s="2" t="str">
        <x:v>盛新锂能</x:v>
      </x:c>
      <x:c r="B35" s="2" t="str">
        <x:v>萨比星</x:v>
      </x:c>
      <x:c r="C35" s="2" t="n">
        <x:v>2028</x:v>
      </x:c>
      <x:c r="D35" s="19" t="n">
        <x:f>参数与事实!G$5</x:f>
        <x:v>20</x:v>
      </x:c>
      <x:c r="E35" s="19" t="n">
        <x:f>D35/(1+参数与事实!$B$5)</x:f>
        <x:v>17.69911504424779</x:v>
      </x:c>
      <x:c r="F35" s="19" t="n">
        <x:f>MAX(参数与事实!$B$8,E35*参数与事实!$B$7-参数与事实!$B$10)</x:f>
        <x:v>13.729203539823011</x:v>
      </x:c>
      <x:c r="G35" s="19" t="n">
        <x:f>参数与事实!J29</x:f>
        <x:v>3.2</x:v>
      </x:c>
      <x:c r="H35" s="20" t="n">
        <x:f>参数与事实!C29</x:f>
        <x:v>1</x:v>
      </x:c>
      <x:c r="I35" s="19" t="n">
        <x:f>参数与事实!E29+参数与事实!$B$9</x:f>
        <x:v>3.5</x:v>
      </x:c>
      <x:c r="J35" s="21" t="n">
        <x:f>参数与事实!F29+参数与事实!M29</x:f>
        <x:v>0.1</x:v>
      </x:c>
      <x:c r="K35" s="21" t="n">
        <x:f>参数与事实!G29</x:f>
        <x:v>0.25</x:v>
      </x:c>
      <x:c r="L35" s="15" t="n">
        <x:f>(F35*(1-J35)-I35)*G35</x:f>
        <x:v>28.34010619469028</x:v>
      </x:c>
      <x:c r="M35" s="15" t="n">
        <x:f>MAX(L35,0)*K35</x:f>
        <x:v>7.08502654867257</x:v>
      </x:c>
      <x:c r="N35" s="22" t="n">
        <x:f>(L35-M35)*H35</x:f>
        <x:v>21.25507964601771</x:v>
      </x:c>
    </x:row>
    <x:row r="36" ht="23" customHeight="1">
      <x:c r="A36" s="2" t="str">
        <x:v>盛新锂能</x:v>
      </x:c>
      <x:c r="B36" s="2" t="str">
        <x:v>萨比星</x:v>
      </x:c>
      <x:c r="C36" s="2" t="n">
        <x:v>2028</x:v>
      </x:c>
      <x:c r="D36" s="19" t="n">
        <x:f>参数与事实!H$5</x:f>
        <x:v>30</x:v>
      </x:c>
      <x:c r="E36" s="19" t="n">
        <x:f>D36/(1+参数与事实!$B$5)</x:f>
        <x:v>26.548672566371685</x:v>
      </x:c>
      <x:c r="F36" s="19" t="n">
        <x:f>MAX(参数与事实!$B$8,E36*参数与事实!$B$7-参数与事实!$B$10)</x:f>
        <x:v>21.69380530973452</x:v>
      </x:c>
      <x:c r="G36" s="19" t="n">
        <x:f>参数与事实!J29</x:f>
        <x:v>3.2</x:v>
      </x:c>
      <x:c r="H36" s="20" t="n">
        <x:f>参数与事实!C29</x:f>
        <x:v>1</x:v>
      </x:c>
      <x:c r="I36" s="19" t="n">
        <x:f>参数与事实!E29+参数与事实!$B$9</x:f>
        <x:v>3.5</x:v>
      </x:c>
      <x:c r="J36" s="21" t="n">
        <x:f>参数与事实!F29+参数与事实!M29</x:f>
        <x:v>0.1</x:v>
      </x:c>
      <x:c r="K36" s="21" t="n">
        <x:f>参数与事实!G29</x:f>
        <x:v>0.25</x:v>
      </x:c>
      <x:c r="L36" s="15" t="n">
        <x:f>(F36*(1-J36)-I36)*G36</x:f>
        <x:v>51.27815929203541</x:v>
      </x:c>
      <x:c r="M36" s="15" t="n">
        <x:f>MAX(L36,0)*K36</x:f>
        <x:v>12.819539823008853</x:v>
      </x:c>
      <x:c r="N36" s="22" t="n">
        <x:f>(L36-M36)*H36</x:f>
        <x:v>38.45861946902656</x:v>
      </x:c>
    </x:row>
    <x:row r="37" ht="23" customHeight="1">
      <x:c r="A37" s="2" t="str">
        <x:v>盛新锂能</x:v>
      </x:c>
      <x:c r="B37" s="2" t="str">
        <x:v>萨比星</x:v>
      </x:c>
      <x:c r="C37" s="2" t="n">
        <x:v>2029</x:v>
      </x:c>
      <x:c r="D37" s="19" t="n">
        <x:f>参数与事实!E$5</x:f>
        <x:v>10</x:v>
      </x:c>
      <x:c r="E37" s="19" t="n">
        <x:f>D37/(1+参数与事实!$B$5)</x:f>
        <x:v>8.849557522123895</x:v>
      </x:c>
      <x:c r="F37" s="19" t="n">
        <x:f>MAX(参数与事实!$B$8,E37*参数与事实!$B$7-参数与事实!$B$10)</x:f>
        <x:v>5.764601769911506</x:v>
      </x:c>
      <x:c r="G37" s="19" t="n">
        <x:f>参数与事实!K29</x:f>
        <x:v>3.2</x:v>
      </x:c>
      <x:c r="H37" s="20" t="n">
        <x:f>参数与事实!C29</x:f>
        <x:v>1</x:v>
      </x:c>
      <x:c r="I37" s="19" t="n">
        <x:f>参数与事实!E29+参数与事实!$B$9</x:f>
        <x:v>3.5</x:v>
      </x:c>
      <x:c r="J37" s="21" t="n">
        <x:f>参数与事实!F29+参数与事实!N29</x:f>
        <x:v>0.1</x:v>
      </x:c>
      <x:c r="K37" s="21" t="n">
        <x:f>参数与事实!G29</x:f>
        <x:v>0.25</x:v>
      </x:c>
      <x:c r="L37" s="15" t="n">
        <x:f>(F37*(1-J37)-I37)*G37</x:f>
        <x:v>5.402053097345138</x:v>
      </x:c>
      <x:c r="M37" s="15" t="n">
        <x:f>MAX(L37,0)*K37</x:f>
        <x:v>1.3505132743362844</x:v>
      </x:c>
      <x:c r="N37" s="22" t="n">
        <x:f>(L37-M37)*H37</x:f>
        <x:v>4.051539823008853</x:v>
      </x:c>
    </x:row>
    <x:row r="38" ht="23" customHeight="1">
      <x:c r="A38" s="2" t="str">
        <x:v>盛新锂能</x:v>
      </x:c>
      <x:c r="B38" s="2" t="str">
        <x:v>萨比星</x:v>
      </x:c>
      <x:c r="C38" s="2" t="n">
        <x:v>2029</x:v>
      </x:c>
      <x:c r="D38" s="19" t="n">
        <x:f>参数与事实!F$5</x:f>
        <x:v>15</x:v>
      </x:c>
      <x:c r="E38" s="19" t="n">
        <x:f>D38/(1+参数与事实!$B$5)</x:f>
        <x:v>13.274336283185843</x:v>
      </x:c>
      <x:c r="F38" s="19" t="n">
        <x:f>MAX(参数与事实!$B$8,E38*参数与事实!$B$7-参数与事实!$B$10)</x:f>
        <x:v>9.74690265486726</x:v>
      </x:c>
      <x:c r="G38" s="19" t="n">
        <x:f>参数与事实!K29</x:f>
        <x:v>3.2</x:v>
      </x:c>
      <x:c r="H38" s="20" t="n">
        <x:f>参数与事实!C29</x:f>
        <x:v>1</x:v>
      </x:c>
      <x:c r="I38" s="19" t="n">
        <x:f>参数与事实!E29+参数与事实!$B$9</x:f>
        <x:v>3.5</x:v>
      </x:c>
      <x:c r="J38" s="21" t="n">
        <x:f>参数与事实!F29+参数与事实!N29</x:f>
        <x:v>0.1</x:v>
      </x:c>
      <x:c r="K38" s="21" t="n">
        <x:f>参数与事实!G29</x:f>
        <x:v>0.25</x:v>
      </x:c>
      <x:c r="L38" s="15" t="n">
        <x:f>(F38*(1-J38)-I38)*G38</x:f>
        <x:v>16.871079646017712</x:v>
      </x:c>
      <x:c r="M38" s="15" t="n">
        <x:f>MAX(L38,0)*K38</x:f>
        <x:v>4.217769911504428</x:v>
      </x:c>
      <x:c r="N38" s="22" t="n">
        <x:f>(L38-M38)*H38</x:f>
        <x:v>12.653309734513284</x:v>
      </x:c>
    </x:row>
    <x:row r="39" ht="23" customHeight="1">
      <x:c r="A39" s="2" t="str">
        <x:v>盛新锂能</x:v>
      </x:c>
      <x:c r="B39" s="2" t="str">
        <x:v>萨比星</x:v>
      </x:c>
      <x:c r="C39" s="2" t="n">
        <x:v>2029</x:v>
      </x:c>
      <x:c r="D39" s="19" t="n">
        <x:f>参数与事实!G$5</x:f>
        <x:v>20</x:v>
      </x:c>
      <x:c r="E39" s="19" t="n">
        <x:f>D39/(1+参数与事实!$B$5)</x:f>
        <x:v>17.69911504424779</x:v>
      </x:c>
      <x:c r="F39" s="19" t="n">
        <x:f>MAX(参数与事实!$B$8,E39*参数与事实!$B$7-参数与事实!$B$10)</x:f>
        <x:v>13.729203539823011</x:v>
      </x:c>
      <x:c r="G39" s="19" t="n">
        <x:f>参数与事实!K29</x:f>
        <x:v>3.2</x:v>
      </x:c>
      <x:c r="H39" s="20" t="n">
        <x:f>参数与事实!C29</x:f>
        <x:v>1</x:v>
      </x:c>
      <x:c r="I39" s="19" t="n">
        <x:f>参数与事实!E29+参数与事实!$B$9</x:f>
        <x:v>3.5</x:v>
      </x:c>
      <x:c r="J39" s="21" t="n">
        <x:f>参数与事实!F29+参数与事实!N29</x:f>
        <x:v>0.1</x:v>
      </x:c>
      <x:c r="K39" s="21" t="n">
        <x:f>参数与事实!G29</x:f>
        <x:v>0.25</x:v>
      </x:c>
      <x:c r="L39" s="15" t="n">
        <x:f>(F39*(1-J39)-I39)*G39</x:f>
        <x:v>28.34010619469028</x:v>
      </x:c>
      <x:c r="M39" s="15" t="n">
        <x:f>MAX(L39,0)*K39</x:f>
        <x:v>7.08502654867257</x:v>
      </x:c>
      <x:c r="N39" s="22" t="n">
        <x:f>(L39-M39)*H39</x:f>
        <x:v>21.25507964601771</x:v>
      </x:c>
    </x:row>
    <x:row r="40" ht="23" customHeight="1">
      <x:c r="A40" s="2" t="str">
        <x:v>盛新锂能</x:v>
      </x:c>
      <x:c r="B40" s="2" t="str">
        <x:v>萨比星</x:v>
      </x:c>
      <x:c r="C40" s="2" t="n">
        <x:v>2029</x:v>
      </x:c>
      <x:c r="D40" s="19" t="n">
        <x:f>参数与事实!H$5</x:f>
        <x:v>30</x:v>
      </x:c>
      <x:c r="E40" s="19" t="n">
        <x:f>D40/(1+参数与事实!$B$5)</x:f>
        <x:v>26.548672566371685</x:v>
      </x:c>
      <x:c r="F40" s="19" t="n">
        <x:f>MAX(参数与事实!$B$8,E40*参数与事实!$B$7-参数与事实!$B$10)</x:f>
        <x:v>21.69380530973452</x:v>
      </x:c>
      <x:c r="G40" s="19" t="n">
        <x:f>参数与事实!K29</x:f>
        <x:v>3.2</x:v>
      </x:c>
      <x:c r="H40" s="20" t="n">
        <x:f>参数与事实!C29</x:f>
        <x:v>1</x:v>
      </x:c>
      <x:c r="I40" s="19" t="n">
        <x:f>参数与事实!E29+参数与事实!$B$9</x:f>
        <x:v>3.5</x:v>
      </x:c>
      <x:c r="J40" s="21" t="n">
        <x:f>参数与事实!F29+参数与事实!N29</x:f>
        <x:v>0.1</x:v>
      </x:c>
      <x:c r="K40" s="21" t="n">
        <x:f>参数与事实!G29</x:f>
        <x:v>0.25</x:v>
      </x:c>
      <x:c r="L40" s="15" t="n">
        <x:f>(F40*(1-J40)-I40)*G40</x:f>
        <x:v>51.27815929203541</x:v>
      </x:c>
      <x:c r="M40" s="15" t="n">
        <x:f>MAX(L40,0)*K40</x:f>
        <x:v>12.819539823008853</x:v>
      </x:c>
      <x:c r="N40" s="22" t="n">
        <x:f>(L40-M40)*H40</x:f>
        <x:v>38.45861946902656</x:v>
      </x:c>
    </x:row>
    <x:row r="41" ht="23" customHeight="1">
      <x:c r="A41" s="2" t="str">
        <x:v>盛新锂能</x:v>
      </x:c>
      <x:c r="B41" s="2" t="str">
        <x:v>业隆沟</x:v>
      </x:c>
      <x:c r="C41" s="2" t="n">
        <x:v>2027</x:v>
      </x:c>
      <x:c r="D41" s="19" t="n">
        <x:f>参数与事实!E$5</x:f>
        <x:v>10</x:v>
      </x:c>
      <x:c r="E41" s="19" t="n">
        <x:f>D41/(1+参数与事实!$B$5)</x:f>
        <x:v>8.849557522123895</x:v>
      </x:c>
      <x:c r="F41" s="19" t="n">
        <x:f>MAX(参数与事实!$B$8,E41*参数与事实!$B$7-参数与事实!$B$10)</x:f>
        <x:v>5.764601769911506</x:v>
      </x:c>
      <x:c r="G41" s="19" t="n">
        <x:f>参数与事实!I30</x:f>
        <x:v>0.8</x:v>
      </x:c>
      <x:c r="H41" s="20" t="n">
        <x:f>参数与事实!C30</x:f>
        <x:v>0.75</x:v>
      </x:c>
      <x:c r="I41" s="19" t="n">
        <x:f>参数与事实!E30+参数与事实!$B$9</x:f>
        <x:v>3</x:v>
      </x:c>
      <x:c r="J41" s="21" t="n">
        <x:f>参数与事实!F30+参数与事实!L30</x:f>
        <x:v>0.045</x:v>
      </x:c>
      <x:c r="K41" s="21" t="n">
        <x:f>参数与事实!G30</x:f>
        <x:v>0.15</x:v>
      </x:c>
      <x:c r="L41" s="15" t="n">
        <x:f>(F41*(1-J41)-I41)*G41</x:f>
        <x:v>2.0041557522123905</x:v>
      </x:c>
      <x:c r="M41" s="15" t="n">
        <x:f>MAX(L41,0)*K41</x:f>
        <x:v>0.3006233628318586</x:v>
      </x:c>
      <x:c r="N41" s="22" t="n">
        <x:f>(L41-M41)*H41</x:f>
        <x:v>1.2776492920353988</x:v>
      </x:c>
    </x:row>
    <x:row r="42" ht="23" customHeight="1">
      <x:c r="A42" s="2" t="str">
        <x:v>盛新锂能</x:v>
      </x:c>
      <x:c r="B42" s="2" t="str">
        <x:v>业隆沟</x:v>
      </x:c>
      <x:c r="C42" s="2" t="n">
        <x:v>2027</x:v>
      </x:c>
      <x:c r="D42" s="19" t="n">
        <x:f>参数与事实!F$5</x:f>
        <x:v>15</x:v>
      </x:c>
      <x:c r="E42" s="19" t="n">
        <x:f>D42/(1+参数与事实!$B$5)</x:f>
        <x:v>13.274336283185843</x:v>
      </x:c>
      <x:c r="F42" s="19" t="n">
        <x:f>MAX(参数与事实!$B$8,E42*参数与事实!$B$7-参数与事实!$B$10)</x:f>
        <x:v>9.74690265486726</x:v>
      </x:c>
      <x:c r="G42" s="19" t="n">
        <x:f>参数与事实!I30</x:f>
        <x:v>0.8</x:v>
      </x:c>
      <x:c r="H42" s="20" t="n">
        <x:f>参数与事实!C30</x:f>
        <x:v>0.75</x:v>
      </x:c>
      <x:c r="I42" s="19" t="n">
        <x:f>参数与事实!E30+参数与事实!$B$9</x:f>
        <x:v>3</x:v>
      </x:c>
      <x:c r="J42" s="21" t="n">
        <x:f>参数与事实!F30+参数与事实!L30</x:f>
        <x:v>0.045</x:v>
      </x:c>
      <x:c r="K42" s="21" t="n">
        <x:f>参数与事实!G30</x:f>
        <x:v>0.15</x:v>
      </x:c>
      <x:c r="L42" s="15" t="n">
        <x:f>(F42*(1-J42)-I42)*G42</x:f>
        <x:v>5.0466336283185855</x:v>
      </x:c>
      <x:c r="M42" s="15" t="n">
        <x:f>MAX(L42,0)*K42</x:f>
        <x:v>0.7569950442477879</x:v>
      </x:c>
      <x:c r="N42" s="22" t="n">
        <x:f>(L42-M42)*H42</x:f>
        <x:v>3.2172289380530987</x:v>
      </x:c>
    </x:row>
    <x:row r="43" ht="23" customHeight="1">
      <x:c r="A43" s="2" t="str">
        <x:v>盛新锂能</x:v>
      </x:c>
      <x:c r="B43" s="2" t="str">
        <x:v>业隆沟</x:v>
      </x:c>
      <x:c r="C43" s="2" t="n">
        <x:v>2027</x:v>
      </x:c>
      <x:c r="D43" s="19" t="n">
        <x:f>参数与事实!G$5</x:f>
        <x:v>20</x:v>
      </x:c>
      <x:c r="E43" s="19" t="n">
        <x:f>D43/(1+参数与事实!$B$5)</x:f>
        <x:v>17.69911504424779</x:v>
      </x:c>
      <x:c r="F43" s="19" t="n">
        <x:f>MAX(参数与事实!$B$8,E43*参数与事实!$B$7-参数与事实!$B$10)</x:f>
        <x:v>13.729203539823011</x:v>
      </x:c>
      <x:c r="G43" s="19" t="n">
        <x:f>参数与事实!I30</x:f>
        <x:v>0.8</x:v>
      </x:c>
      <x:c r="H43" s="20" t="n">
        <x:f>参数与事实!C30</x:f>
        <x:v>0.75</x:v>
      </x:c>
      <x:c r="I43" s="19" t="n">
        <x:f>参数与事实!E30+参数与事实!$B$9</x:f>
        <x:v>3</x:v>
      </x:c>
      <x:c r="J43" s="21" t="n">
        <x:f>参数与事实!F30+参数与事实!L30</x:f>
        <x:v>0.045</x:v>
      </x:c>
      <x:c r="K43" s="21" t="n">
        <x:f>参数与事实!G30</x:f>
        <x:v>0.15</x:v>
      </x:c>
      <x:c r="L43" s="15" t="n">
        <x:f>(F43*(1-J43)-I43)*G43</x:f>
        <x:v>8.08911150442478</x:v>
      </x:c>
      <x:c r="M43" s="15" t="n">
        <x:f>MAX(L43,0)*K43</x:f>
        <x:v>1.213366725663717</x:v>
      </x:c>
      <x:c r="N43" s="22" t="n">
        <x:f>(L43-M43)*H43</x:f>
        <x:v>5.156808584070797</x:v>
      </x:c>
    </x:row>
    <x:row r="44" ht="23" customHeight="1">
      <x:c r="A44" s="2" t="str">
        <x:v>盛新锂能</x:v>
      </x:c>
      <x:c r="B44" s="2" t="str">
        <x:v>业隆沟</x:v>
      </x:c>
      <x:c r="C44" s="2" t="n">
        <x:v>2027</x:v>
      </x:c>
      <x:c r="D44" s="19" t="n">
        <x:f>参数与事实!H$5</x:f>
        <x:v>30</x:v>
      </x:c>
      <x:c r="E44" s="19" t="n">
        <x:f>D44/(1+参数与事实!$B$5)</x:f>
        <x:v>26.548672566371685</x:v>
      </x:c>
      <x:c r="F44" s="19" t="n">
        <x:f>MAX(参数与事实!$B$8,E44*参数与事实!$B$7-参数与事实!$B$10)</x:f>
        <x:v>21.69380530973452</x:v>
      </x:c>
      <x:c r="G44" s="19" t="n">
        <x:f>参数与事实!I30</x:f>
        <x:v>0.8</x:v>
      </x:c>
      <x:c r="H44" s="20" t="n">
        <x:f>参数与事实!C30</x:f>
        <x:v>0.75</x:v>
      </x:c>
      <x:c r="I44" s="19" t="n">
        <x:f>参数与事实!E30+参数与事实!$B$9</x:f>
        <x:v>3</x:v>
      </x:c>
      <x:c r="J44" s="21" t="n">
        <x:f>参数与事实!F30+参数与事实!L30</x:f>
        <x:v>0.045</x:v>
      </x:c>
      <x:c r="K44" s="21" t="n">
        <x:f>参数与事实!G30</x:f>
        <x:v>0.15</x:v>
      </x:c>
      <x:c r="L44" s="15" t="n">
        <x:f>(F44*(1-J44)-I44)*G44</x:f>
        <x:v>14.174067256637171</x:v>
      </x:c>
      <x:c r="M44" s="15" t="n">
        <x:f>MAX(L44,0)*K44</x:f>
        <x:v>2.1261100884955755</x:v>
      </x:c>
      <x:c r="N44" s="22" t="n">
        <x:f>(L44-M44)*H44</x:f>
        <x:v>9.035967876106197</x:v>
      </x:c>
    </x:row>
    <x:row r="45" ht="23" customHeight="1">
      <x:c r="A45" s="2" t="str">
        <x:v>盛新锂能</x:v>
      </x:c>
      <x:c r="B45" s="2" t="str">
        <x:v>业隆沟</x:v>
      </x:c>
      <x:c r="C45" s="2" t="n">
        <x:v>2028</x:v>
      </x:c>
      <x:c r="D45" s="19" t="n">
        <x:f>参数与事实!E$5</x:f>
        <x:v>10</x:v>
      </x:c>
      <x:c r="E45" s="19" t="n">
        <x:f>D45/(1+参数与事实!$B$5)</x:f>
        <x:v>8.849557522123895</x:v>
      </x:c>
      <x:c r="F45" s="19" t="n">
        <x:f>MAX(参数与事实!$B$8,E45*参数与事实!$B$7-参数与事实!$B$10)</x:f>
        <x:v>5.764601769911506</x:v>
      </x:c>
      <x:c r="G45" s="19" t="n">
        <x:f>参数与事实!J30</x:f>
        <x:v>0.83</x:v>
      </x:c>
      <x:c r="H45" s="20" t="n">
        <x:f>参数与事实!C30</x:f>
        <x:v>0.75</x:v>
      </x:c>
      <x:c r="I45" s="19" t="n">
        <x:f>参数与事实!E30+参数与事实!$B$9</x:f>
        <x:v>3</x:v>
      </x:c>
      <x:c r="J45" s="21" t="n">
        <x:f>参数与事实!F30+参数与事实!M30</x:f>
        <x:v>0.045</x:v>
      </x:c>
      <x:c r="K45" s="21" t="n">
        <x:f>参数与事实!G30</x:f>
        <x:v>0.15</x:v>
      </x:c>
      <x:c r="L45" s="15" t="n">
        <x:f>(F45*(1-J45)-I45)*G45</x:f>
        <x:v>2.0793115929203547</x:v>
      </x:c>
      <x:c r="M45" s="15" t="n">
        <x:f>MAX(L45,0)*K45</x:f>
        <x:v>0.3118967389380532</x:v>
      </x:c>
      <x:c r="N45" s="22" t="n">
        <x:f>(L45-M45)*H45</x:f>
        <x:v>1.3255611404867262</x:v>
      </x:c>
    </x:row>
    <x:row r="46" ht="23" customHeight="1">
      <x:c r="A46" s="2" t="str">
        <x:v>盛新锂能</x:v>
      </x:c>
      <x:c r="B46" s="2" t="str">
        <x:v>业隆沟</x:v>
      </x:c>
      <x:c r="C46" s="2" t="n">
        <x:v>2028</x:v>
      </x:c>
      <x:c r="D46" s="19" t="n">
        <x:f>参数与事实!F$5</x:f>
        <x:v>15</x:v>
      </x:c>
      <x:c r="E46" s="19" t="n">
        <x:f>D46/(1+参数与事实!$B$5)</x:f>
        <x:v>13.274336283185843</x:v>
      </x:c>
      <x:c r="F46" s="19" t="n">
        <x:f>MAX(参数与事实!$B$8,E46*参数与事实!$B$7-参数与事实!$B$10)</x:f>
        <x:v>9.74690265486726</x:v>
      </x:c>
      <x:c r="G46" s="19" t="n">
        <x:f>参数与事实!J30</x:f>
        <x:v>0.83</x:v>
      </x:c>
      <x:c r="H46" s="20" t="n">
        <x:f>参数与事实!C30</x:f>
        <x:v>0.75</x:v>
      </x:c>
      <x:c r="I46" s="19" t="n">
        <x:f>参数与事实!E30+参数与事实!$B$9</x:f>
        <x:v>3</x:v>
      </x:c>
      <x:c r="J46" s="21" t="n">
        <x:f>参数与事实!F30+参数与事实!M30</x:f>
        <x:v>0.045</x:v>
      </x:c>
      <x:c r="K46" s="21" t="n">
        <x:f>参数与事实!G30</x:f>
        <x:v>0.15</x:v>
      </x:c>
      <x:c r="L46" s="15" t="n">
        <x:f>(F46*(1-J46)-I46)*G46</x:f>
        <x:v>5.235882389380532</x:v>
      </x:c>
      <x:c r="M46" s="15" t="n">
        <x:f>MAX(L46,0)*K46</x:f>
        <x:v>0.7853823584070798</x:v>
      </x:c>
      <x:c r="N46" s="22" t="n">
        <x:f>(L46-M46)*H46</x:f>
        <x:v>3.3378750232300898</x:v>
      </x:c>
    </x:row>
    <x:row r="47" ht="23" customHeight="1">
      <x:c r="A47" s="2" t="str">
        <x:v>盛新锂能</x:v>
      </x:c>
      <x:c r="B47" s="2" t="str">
        <x:v>业隆沟</x:v>
      </x:c>
      <x:c r="C47" s="2" t="n">
        <x:v>2028</x:v>
      </x:c>
      <x:c r="D47" s="19" t="n">
        <x:f>参数与事实!G$5</x:f>
        <x:v>20</x:v>
      </x:c>
      <x:c r="E47" s="19" t="n">
        <x:f>D47/(1+参数与事实!$B$5)</x:f>
        <x:v>17.69911504424779</x:v>
      </x:c>
      <x:c r="F47" s="19" t="n">
        <x:f>MAX(参数与事实!$B$8,E47*参数与事实!$B$7-参数与事实!$B$10)</x:f>
        <x:v>13.729203539823011</x:v>
      </x:c>
      <x:c r="G47" s="19" t="n">
        <x:f>参数与事实!J30</x:f>
        <x:v>0.83</x:v>
      </x:c>
      <x:c r="H47" s="20" t="n">
        <x:f>参数与事实!C30</x:f>
        <x:v>0.75</x:v>
      </x:c>
      <x:c r="I47" s="19" t="n">
        <x:f>参数与事实!E30+参数与事实!$B$9</x:f>
        <x:v>3</x:v>
      </x:c>
      <x:c r="J47" s="21" t="n">
        <x:f>参数与事实!F30+参数与事实!M30</x:f>
        <x:v>0.045</x:v>
      </x:c>
      <x:c r="K47" s="21" t="n">
        <x:f>参数与事实!G30</x:f>
        <x:v>0.15</x:v>
      </x:c>
      <x:c r="L47" s="15" t="n">
        <x:f>(F47*(1-J47)-I47)*G47</x:f>
        <x:v>8.392453185840708</x:v>
      </x:c>
      <x:c r="M47" s="15" t="n">
        <x:f>MAX(L47,0)*K47</x:f>
        <x:v>1.258867977876106</x:v>
      </x:c>
      <x:c r="N47" s="22" t="n">
        <x:f>(L47-M47)*H47</x:f>
        <x:v>5.350188905973452</x:v>
      </x:c>
    </x:row>
    <x:row r="48" ht="23" customHeight="1">
      <x:c r="A48" s="2" t="str">
        <x:v>盛新锂能</x:v>
      </x:c>
      <x:c r="B48" s="2" t="str">
        <x:v>业隆沟</x:v>
      </x:c>
      <x:c r="C48" s="2" t="n">
        <x:v>2028</x:v>
      </x:c>
      <x:c r="D48" s="19" t="n">
        <x:f>参数与事实!H$5</x:f>
        <x:v>30</x:v>
      </x:c>
      <x:c r="E48" s="19" t="n">
        <x:f>D48/(1+参数与事实!$B$5)</x:f>
        <x:v>26.548672566371685</x:v>
      </x:c>
      <x:c r="F48" s="19" t="n">
        <x:f>MAX(参数与事实!$B$8,E48*参数与事实!$B$7-参数与事实!$B$10)</x:f>
        <x:v>21.69380530973452</x:v>
      </x:c>
      <x:c r="G48" s="19" t="n">
        <x:f>参数与事实!J30</x:f>
        <x:v>0.83</x:v>
      </x:c>
      <x:c r="H48" s="20" t="n">
        <x:f>参数与事实!C30</x:f>
        <x:v>0.75</x:v>
      </x:c>
      <x:c r="I48" s="19" t="n">
        <x:f>参数与事实!E30+参数与事实!$B$9</x:f>
        <x:v>3</x:v>
      </x:c>
      <x:c r="J48" s="21" t="n">
        <x:f>参数与事实!F30+参数与事实!M30</x:f>
        <x:v>0.045</x:v>
      </x:c>
      <x:c r="K48" s="21" t="n">
        <x:f>参数与事实!G30</x:f>
        <x:v>0.15</x:v>
      </x:c>
      <x:c r="L48" s="15" t="n">
        <x:f>(F48*(1-J48)-I48)*G48</x:f>
        <x:v>14.705594778761062</x:v>
      </x:c>
      <x:c r="M48" s="15" t="n">
        <x:f>MAX(L48,0)*K48</x:f>
        <x:v>2.205839216814159</x:v>
      </x:c>
      <x:c r="N48" s="22" t="n">
        <x:f>(L48-M48)*H48</x:f>
        <x:v>9.374816671460177</x:v>
      </x:c>
    </x:row>
    <x:row r="49" ht="23" customHeight="1">
      <x:c r="A49" s="2" t="str">
        <x:v>盛新锂能</x:v>
      </x:c>
      <x:c r="B49" s="2" t="str">
        <x:v>业隆沟</x:v>
      </x:c>
      <x:c r="C49" s="2" t="n">
        <x:v>2029</x:v>
      </x:c>
      <x:c r="D49" s="19" t="n">
        <x:f>参数与事实!E$5</x:f>
        <x:v>10</x:v>
      </x:c>
      <x:c r="E49" s="19" t="n">
        <x:f>D49/(1+参数与事实!$B$5)</x:f>
        <x:v>8.849557522123895</x:v>
      </x:c>
      <x:c r="F49" s="19" t="n">
        <x:f>MAX(参数与事实!$B$8,E49*参数与事实!$B$7-参数与事实!$B$10)</x:f>
        <x:v>5.764601769911506</x:v>
      </x:c>
      <x:c r="G49" s="19" t="n">
        <x:f>参数与事实!K30</x:f>
        <x:v>0.83</x:v>
      </x:c>
      <x:c r="H49" s="20" t="n">
        <x:f>参数与事实!C30</x:f>
        <x:v>0.75</x:v>
      </x:c>
      <x:c r="I49" s="19" t="n">
        <x:f>参数与事实!E30+参数与事实!$B$9</x:f>
        <x:v>3</x:v>
      </x:c>
      <x:c r="J49" s="21" t="n">
        <x:f>参数与事实!F30+参数与事实!N30</x:f>
        <x:v>0.045</x:v>
      </x:c>
      <x:c r="K49" s="21" t="n">
        <x:f>参数与事实!G30</x:f>
        <x:v>0.15</x:v>
      </x:c>
      <x:c r="L49" s="15" t="n">
        <x:f>(F49*(1-J49)-I49)*G49</x:f>
        <x:v>2.0793115929203547</x:v>
      </x:c>
      <x:c r="M49" s="15" t="n">
        <x:f>MAX(L49,0)*K49</x:f>
        <x:v>0.3118967389380532</x:v>
      </x:c>
      <x:c r="N49" s="22" t="n">
        <x:f>(L49-M49)*H49</x:f>
        <x:v>1.3255611404867262</x:v>
      </x:c>
    </x:row>
    <x:row r="50" ht="23" customHeight="1">
      <x:c r="A50" s="2" t="str">
        <x:v>盛新锂能</x:v>
      </x:c>
      <x:c r="B50" s="2" t="str">
        <x:v>业隆沟</x:v>
      </x:c>
      <x:c r="C50" s="2" t="n">
        <x:v>2029</x:v>
      </x:c>
      <x:c r="D50" s="19" t="n">
        <x:f>参数与事实!F$5</x:f>
        <x:v>15</x:v>
      </x:c>
      <x:c r="E50" s="19" t="n">
        <x:f>D50/(1+参数与事实!$B$5)</x:f>
        <x:v>13.274336283185843</x:v>
      </x:c>
      <x:c r="F50" s="19" t="n">
        <x:f>MAX(参数与事实!$B$8,E50*参数与事实!$B$7-参数与事实!$B$10)</x:f>
        <x:v>9.74690265486726</x:v>
      </x:c>
      <x:c r="G50" s="19" t="n">
        <x:f>参数与事实!K30</x:f>
        <x:v>0.83</x:v>
      </x:c>
      <x:c r="H50" s="20" t="n">
        <x:f>参数与事实!C30</x:f>
        <x:v>0.75</x:v>
      </x:c>
      <x:c r="I50" s="19" t="n">
        <x:f>参数与事实!E30+参数与事实!$B$9</x:f>
        <x:v>3</x:v>
      </x:c>
      <x:c r="J50" s="21" t="n">
        <x:f>参数与事实!F30+参数与事实!N30</x:f>
        <x:v>0.045</x:v>
      </x:c>
      <x:c r="K50" s="21" t="n">
        <x:f>参数与事实!G30</x:f>
        <x:v>0.15</x:v>
      </x:c>
      <x:c r="L50" s="15" t="n">
        <x:f>(F50*(1-J50)-I50)*G50</x:f>
        <x:v>5.235882389380532</x:v>
      </x:c>
      <x:c r="M50" s="15" t="n">
        <x:f>MAX(L50,0)*K50</x:f>
        <x:v>0.7853823584070798</x:v>
      </x:c>
      <x:c r="N50" s="22" t="n">
        <x:f>(L50-M50)*H50</x:f>
        <x:v>3.3378750232300898</x:v>
      </x:c>
    </x:row>
    <x:row r="51" ht="23" customHeight="1">
      <x:c r="A51" s="2" t="str">
        <x:v>盛新锂能</x:v>
      </x:c>
      <x:c r="B51" s="2" t="str">
        <x:v>业隆沟</x:v>
      </x:c>
      <x:c r="C51" s="2" t="n">
        <x:v>2029</x:v>
      </x:c>
      <x:c r="D51" s="19" t="n">
        <x:f>参数与事实!G$5</x:f>
        <x:v>20</x:v>
      </x:c>
      <x:c r="E51" s="19" t="n">
        <x:f>D51/(1+参数与事实!$B$5)</x:f>
        <x:v>17.69911504424779</x:v>
      </x:c>
      <x:c r="F51" s="19" t="n">
        <x:f>MAX(参数与事实!$B$8,E51*参数与事实!$B$7-参数与事实!$B$10)</x:f>
        <x:v>13.729203539823011</x:v>
      </x:c>
      <x:c r="G51" s="19" t="n">
        <x:f>参数与事实!K30</x:f>
        <x:v>0.83</x:v>
      </x:c>
      <x:c r="H51" s="20" t="n">
        <x:f>参数与事实!C30</x:f>
        <x:v>0.75</x:v>
      </x:c>
      <x:c r="I51" s="19" t="n">
        <x:f>参数与事实!E30+参数与事实!$B$9</x:f>
        <x:v>3</x:v>
      </x:c>
      <x:c r="J51" s="21" t="n">
        <x:f>参数与事实!F30+参数与事实!N30</x:f>
        <x:v>0.045</x:v>
      </x:c>
      <x:c r="K51" s="21" t="n">
        <x:f>参数与事实!G30</x:f>
        <x:v>0.15</x:v>
      </x:c>
      <x:c r="L51" s="15" t="n">
        <x:f>(F51*(1-J51)-I51)*G51</x:f>
        <x:v>8.392453185840708</x:v>
      </x:c>
      <x:c r="M51" s="15" t="n">
        <x:f>MAX(L51,0)*K51</x:f>
        <x:v>1.258867977876106</x:v>
      </x:c>
      <x:c r="N51" s="22" t="n">
        <x:f>(L51-M51)*H51</x:f>
        <x:v>5.350188905973452</x:v>
      </x:c>
    </x:row>
    <x:row r="52" ht="23" customHeight="1">
      <x:c r="A52" s="2" t="str">
        <x:v>盛新锂能</x:v>
      </x:c>
      <x:c r="B52" s="2" t="str">
        <x:v>业隆沟</x:v>
      </x:c>
      <x:c r="C52" s="2" t="n">
        <x:v>2029</x:v>
      </x:c>
      <x:c r="D52" s="19" t="n">
        <x:f>参数与事实!H$5</x:f>
        <x:v>30</x:v>
      </x:c>
      <x:c r="E52" s="19" t="n">
        <x:f>D52/(1+参数与事实!$B$5)</x:f>
        <x:v>26.548672566371685</x:v>
      </x:c>
      <x:c r="F52" s="19" t="n">
        <x:f>MAX(参数与事实!$B$8,E52*参数与事实!$B$7-参数与事实!$B$10)</x:f>
        <x:v>21.69380530973452</x:v>
      </x:c>
      <x:c r="G52" s="19" t="n">
        <x:f>参数与事实!K30</x:f>
        <x:v>0.83</x:v>
      </x:c>
      <x:c r="H52" s="20" t="n">
        <x:f>参数与事实!C30</x:f>
        <x:v>0.75</x:v>
      </x:c>
      <x:c r="I52" s="19" t="n">
        <x:f>参数与事实!E30+参数与事实!$B$9</x:f>
        <x:v>3</x:v>
      </x:c>
      <x:c r="J52" s="21" t="n">
        <x:f>参数与事实!F30+参数与事实!N30</x:f>
        <x:v>0.045</x:v>
      </x:c>
      <x:c r="K52" s="21" t="n">
        <x:f>参数与事实!G30</x:f>
        <x:v>0.15</x:v>
      </x:c>
      <x:c r="L52" s="15" t="n">
        <x:f>(F52*(1-J52)-I52)*G52</x:f>
        <x:v>14.705594778761062</x:v>
      </x:c>
      <x:c r="M52" s="15" t="n">
        <x:f>MAX(L52,0)*K52</x:f>
        <x:v>2.205839216814159</x:v>
      </x:c>
      <x:c r="N52" s="22" t="n">
        <x:f>(L52-M52)*H52</x:f>
        <x:v>9.374816671460177</x:v>
      </x:c>
    </x:row>
    <x:row r="53" ht="23" customHeight="1">
      <x:c r="A53" s="2" t="str">
        <x:v>盛新锂能</x:v>
      </x:c>
      <x:c r="B53" s="2" t="str">
        <x:v>SDLA</x:v>
      </x:c>
      <x:c r="C53" s="2" t="n">
        <x:v>2027</x:v>
      </x:c>
      <x:c r="D53" s="19" t="n">
        <x:f>参数与事实!E$5</x:f>
        <x:v>10</x:v>
      </x:c>
      <x:c r="E53" s="19" t="n">
        <x:f>D53/(1+参数与事实!$B$5)</x:f>
        <x:v>8.849557522123895</x:v>
      </x:c>
      <x:c r="F53" s="19" t="n">
        <x:f>E53*参数与事实!H31</x:f>
        <x:v>8.4070796460177</x:v>
      </x:c>
      <x:c r="G53" s="19" t="n">
        <x:f>参数与事实!I31</x:f>
        <x:v>0.18</x:v>
      </x:c>
      <x:c r="H53" s="20" t="n">
        <x:f>参数与事实!C31</x:f>
        <x:v>1</x:v>
      </x:c>
      <x:c r="I53" s="19" t="n">
        <x:f>参数与事实!E31+参数与事实!$B$9</x:f>
        <x:v>5.4</x:v>
      </x:c>
      <x:c r="J53" s="21" t="n">
        <x:f>参数与事实!F31+参数与事实!L31</x:f>
        <x:v>0.03</x:v>
      </x:c>
      <x:c r="K53" s="21" t="n">
        <x:f>参数与事实!G31</x:f>
        <x:v>0.35</x:v>
      </x:c>
      <x:c r="L53" s="15" t="n">
        <x:f>(F53*(1-J53)-I53)*G53</x:f>
        <x:v>0.49587610619469014</x:v>
      </x:c>
      <x:c r="M53" s="15" t="n">
        <x:f>MAX(L53,0)*K53</x:f>
        <x:v>0.17355663716814154</x:v>
      </x:c>
      <x:c r="N53" s="22" t="n">
        <x:f>(L53-M53)*H53</x:f>
        <x:v>0.3223194690265486</x:v>
      </x:c>
    </x:row>
    <x:row r="54" ht="23" customHeight="1">
      <x:c r="A54" s="2" t="str">
        <x:v>盛新锂能</x:v>
      </x:c>
      <x:c r="B54" s="2" t="str">
        <x:v>SDLA</x:v>
      </x:c>
      <x:c r="C54" s="2" t="n">
        <x:v>2027</x:v>
      </x:c>
      <x:c r="D54" s="19" t="n">
        <x:f>参数与事实!F$5</x:f>
        <x:v>15</x:v>
      </x:c>
      <x:c r="E54" s="19" t="n">
        <x:f>D54/(1+参数与事实!$B$5)</x:f>
        <x:v>13.274336283185843</x:v>
      </x:c>
      <x:c r="F54" s="19" t="n">
        <x:f>E54*参数与事实!H31</x:f>
        <x:v>12.61061946902655</x:v>
      </x:c>
      <x:c r="G54" s="19" t="n">
        <x:f>参数与事实!I31</x:f>
        <x:v>0.18</x:v>
      </x:c>
      <x:c r="H54" s="20" t="n">
        <x:f>参数与事实!C31</x:f>
        <x:v>1</x:v>
      </x:c>
      <x:c r="I54" s="19" t="n">
        <x:f>参数与事实!E31+参数与事实!$B$9</x:f>
        <x:v>5.4</x:v>
      </x:c>
      <x:c r="J54" s="21" t="n">
        <x:f>参数与事实!F31+参数与事实!L31</x:f>
        <x:v>0.03</x:v>
      </x:c>
      <x:c r="K54" s="21" t="n">
        <x:f>参数与事实!G31</x:f>
        <x:v>0.35</x:v>
      </x:c>
      <x:c r="L54" s="15" t="n">
        <x:f>(F54*(1-J54)-I54)*G54</x:f>
        <x:v>1.2298141592920355</x:v>
      </x:c>
      <x:c r="M54" s="15" t="n">
        <x:f>MAX(L54,0)*K54</x:f>
        <x:v>0.4304349557522124</x:v>
      </x:c>
      <x:c r="N54" s="22" t="n">
        <x:f>(L54-M54)*H54</x:f>
        <x:v>0.7993792035398231</x:v>
      </x:c>
    </x:row>
    <x:row r="55" ht="23" customHeight="1">
      <x:c r="A55" s="2" t="str">
        <x:v>盛新锂能</x:v>
      </x:c>
      <x:c r="B55" s="2" t="str">
        <x:v>SDLA</x:v>
      </x:c>
      <x:c r="C55" s="2" t="n">
        <x:v>2027</x:v>
      </x:c>
      <x:c r="D55" s="19" t="n">
        <x:f>参数与事实!G$5</x:f>
        <x:v>20</x:v>
      </x:c>
      <x:c r="E55" s="19" t="n">
        <x:f>D55/(1+参数与事实!$B$5)</x:f>
        <x:v>17.69911504424779</x:v>
      </x:c>
      <x:c r="F55" s="19" t="n">
        <x:f>E55*参数与事实!H31</x:f>
        <x:v>16.8141592920354</x:v>
      </x:c>
      <x:c r="G55" s="19" t="n">
        <x:f>参数与事实!I31</x:f>
        <x:v>0.18</x:v>
      </x:c>
      <x:c r="H55" s="20" t="n">
        <x:f>参数与事实!C31</x:f>
        <x:v>1</x:v>
      </x:c>
      <x:c r="I55" s="19" t="n">
        <x:f>参数与事实!E31+参数与事实!$B$9</x:f>
        <x:v>5.4</x:v>
      </x:c>
      <x:c r="J55" s="21" t="n">
        <x:f>参数与事实!F31+参数与事实!L31</x:f>
        <x:v>0.03</x:v>
      </x:c>
      <x:c r="K55" s="21" t="n">
        <x:f>参数与事实!G31</x:f>
        <x:v>0.35</x:v>
      </x:c>
      <x:c r="L55" s="15" t="n">
        <x:f>(F55*(1-J55)-I55)*G55</x:f>
        <x:v>1.9637522123893802</x:v>
      </x:c>
      <x:c r="M55" s="15" t="n">
        <x:f>MAX(L55,0)*K55</x:f>
        <x:v>0.6873132743362831</x:v>
      </x:c>
      <x:c r="N55" s="22" t="n">
        <x:f>(L55-M55)*H55</x:f>
        <x:v>1.2764389380530972</x:v>
      </x:c>
    </x:row>
    <x:row r="56" ht="23" customHeight="1">
      <x:c r="A56" s="2" t="str">
        <x:v>盛新锂能</x:v>
      </x:c>
      <x:c r="B56" s="2" t="str">
        <x:v>SDLA</x:v>
      </x:c>
      <x:c r="C56" s="2" t="n">
        <x:v>2027</x:v>
      </x:c>
      <x:c r="D56" s="19" t="n">
        <x:f>参数与事实!H$5</x:f>
        <x:v>30</x:v>
      </x:c>
      <x:c r="E56" s="19" t="n">
        <x:f>D56/(1+参数与事实!$B$5)</x:f>
        <x:v>26.548672566371685</x:v>
      </x:c>
      <x:c r="F56" s="19" t="n">
        <x:f>E56*参数与事实!H31</x:f>
        <x:v>25.2212389380531</x:v>
      </x:c>
      <x:c r="G56" s="19" t="n">
        <x:f>参数与事实!I31</x:f>
        <x:v>0.18</x:v>
      </x:c>
      <x:c r="H56" s="20" t="n">
        <x:f>参数与事实!C31</x:f>
        <x:v>1</x:v>
      </x:c>
      <x:c r="I56" s="19" t="n">
        <x:f>参数与事实!E31+参数与事实!$B$9</x:f>
        <x:v>5.4</x:v>
      </x:c>
      <x:c r="J56" s="21" t="n">
        <x:f>参数与事实!F31+参数与事实!L31</x:f>
        <x:v>0.03</x:v>
      </x:c>
      <x:c r="K56" s="21" t="n">
        <x:f>参数与事实!G31</x:f>
        <x:v>0.35</x:v>
      </x:c>
      <x:c r="L56" s="15" t="n">
        <x:f>(F56*(1-J56)-I56)*G56</x:f>
        <x:v>3.4316283185840706</x:v>
      </x:c>
      <x:c r="M56" s="15" t="n">
        <x:f>MAX(L56,0)*K56</x:f>
        <x:v>1.2010699115044245</x:v>
      </x:c>
      <x:c r="N56" s="22" t="n">
        <x:f>(L56-M56)*H56</x:f>
        <x:v>2.230558407079646</x:v>
      </x:c>
    </x:row>
    <x:row r="57" ht="23" customHeight="1">
      <x:c r="A57" s="2" t="str">
        <x:v>盛新锂能</x:v>
      </x:c>
      <x:c r="B57" s="2" t="str">
        <x:v>SDLA</x:v>
      </x:c>
      <x:c r="C57" s="2" t="n">
        <x:v>2028</x:v>
      </x:c>
      <x:c r="D57" s="19" t="n">
        <x:f>参数与事实!E$5</x:f>
        <x:v>10</x:v>
      </x:c>
      <x:c r="E57" s="19" t="n">
        <x:f>D57/(1+参数与事实!$B$5)</x:f>
        <x:v>8.849557522123895</x:v>
      </x:c>
      <x:c r="F57" s="19" t="n">
        <x:f>E57*参数与事实!H31</x:f>
        <x:v>8.4070796460177</x:v>
      </x:c>
      <x:c r="G57" s="19" t="n">
        <x:f>参数与事实!J31</x:f>
        <x:v>0.2</x:v>
      </x:c>
      <x:c r="H57" s="20" t="n">
        <x:f>参数与事实!C31</x:f>
        <x:v>1</x:v>
      </x:c>
      <x:c r="I57" s="19" t="n">
        <x:f>参数与事实!E31+参数与事实!$B$9</x:f>
        <x:v>5.4</x:v>
      </x:c>
      <x:c r="J57" s="21" t="n">
        <x:f>参数与事实!F31+参数与事实!M31</x:f>
        <x:v>0.03</x:v>
      </x:c>
      <x:c r="K57" s="21" t="n">
        <x:f>参数与事实!G31</x:f>
        <x:v>0.35</x:v>
      </x:c>
      <x:c r="L57" s="15" t="n">
        <x:f>(F57*(1-J57)-I57)*G57</x:f>
        <x:v>0.5509734513274335</x:v>
      </x:c>
      <x:c r="M57" s="15" t="n">
        <x:f>MAX(L57,0)*K57</x:f>
        <x:v>0.1928407079646017</x:v>
      </x:c>
      <x:c r="N57" s="22" t="n">
        <x:f>(L57-M57)*H57</x:f>
        <x:v>0.35813274336283174</x:v>
      </x:c>
    </x:row>
    <x:row r="58" ht="23" customHeight="1">
      <x:c r="A58" s="2" t="str">
        <x:v>盛新锂能</x:v>
      </x:c>
      <x:c r="B58" s="2" t="str">
        <x:v>SDLA</x:v>
      </x:c>
      <x:c r="C58" s="2" t="n">
        <x:v>2028</x:v>
      </x:c>
      <x:c r="D58" s="19" t="n">
        <x:f>参数与事实!F$5</x:f>
        <x:v>15</x:v>
      </x:c>
      <x:c r="E58" s="19" t="n">
        <x:f>D58/(1+参数与事实!$B$5)</x:f>
        <x:v>13.274336283185843</x:v>
      </x:c>
      <x:c r="F58" s="19" t="n">
        <x:f>E58*参数与事实!H31</x:f>
        <x:v>12.61061946902655</x:v>
      </x:c>
      <x:c r="G58" s="19" t="n">
        <x:f>参数与事实!J31</x:f>
        <x:v>0.2</x:v>
      </x:c>
      <x:c r="H58" s="20" t="n">
        <x:f>参数与事实!C31</x:f>
        <x:v>1</x:v>
      </x:c>
      <x:c r="I58" s="19" t="n">
        <x:f>参数与事实!E31+参数与事实!$B$9</x:f>
        <x:v>5.4</x:v>
      </x:c>
      <x:c r="J58" s="21" t="n">
        <x:f>参数与事实!F31+参数与事实!M31</x:f>
        <x:v>0.03</x:v>
      </x:c>
      <x:c r="K58" s="21" t="n">
        <x:f>参数与事实!G31</x:f>
        <x:v>0.35</x:v>
      </x:c>
      <x:c r="L58" s="15" t="n">
        <x:f>(F58*(1-J58)-I58)*G58</x:f>
        <x:v>1.3664601769911506</x:v>
      </x:c>
      <x:c r="M58" s="15" t="n">
        <x:f>MAX(L58,0)*K58</x:f>
        <x:v>0.4782610619469027</x:v>
      </x:c>
      <x:c r="N58" s="22" t="n">
        <x:f>(L58-M58)*H58</x:f>
        <x:v>0.8881991150442479</x:v>
      </x:c>
    </x:row>
    <x:row r="59" ht="23" customHeight="1">
      <x:c r="A59" s="2" t="str">
        <x:v>盛新锂能</x:v>
      </x:c>
      <x:c r="B59" s="2" t="str">
        <x:v>SDLA</x:v>
      </x:c>
      <x:c r="C59" s="2" t="n">
        <x:v>2028</x:v>
      </x:c>
      <x:c r="D59" s="19" t="n">
        <x:f>参数与事实!G$5</x:f>
        <x:v>20</x:v>
      </x:c>
      <x:c r="E59" s="19" t="n">
        <x:f>D59/(1+参数与事实!$B$5)</x:f>
        <x:v>17.69911504424779</x:v>
      </x:c>
      <x:c r="F59" s="19" t="n">
        <x:f>E59*参数与事实!H31</x:f>
        <x:v>16.8141592920354</x:v>
      </x:c>
      <x:c r="G59" s="19" t="n">
        <x:f>参数与事实!J31</x:f>
        <x:v>0.2</x:v>
      </x:c>
      <x:c r="H59" s="20" t="n">
        <x:f>参数与事实!C31</x:f>
        <x:v>1</x:v>
      </x:c>
      <x:c r="I59" s="19" t="n">
        <x:f>参数与事实!E31+参数与事实!$B$9</x:f>
        <x:v>5.4</x:v>
      </x:c>
      <x:c r="J59" s="21" t="n">
        <x:f>参数与事实!F31+参数与事实!M31</x:f>
        <x:v>0.03</x:v>
      </x:c>
      <x:c r="K59" s="21" t="n">
        <x:f>参数与事实!G31</x:f>
        <x:v>0.35</x:v>
      </x:c>
      <x:c r="L59" s="15" t="n">
        <x:f>(F59*(1-J59)-I59)*G59</x:f>
        <x:v>2.1819469026548672</x:v>
      </x:c>
      <x:c r="M59" s="15" t="n">
        <x:f>MAX(L59,0)*K59</x:f>
        <x:v>0.7636814159292035</x:v>
      </x:c>
      <x:c r="N59" s="22" t="n">
        <x:f>(L59-M59)*H59</x:f>
        <x:v>1.4182654867256637</x:v>
      </x:c>
    </x:row>
    <x:row r="60" ht="23" customHeight="1">
      <x:c r="A60" s="2" t="str">
        <x:v>盛新锂能</x:v>
      </x:c>
      <x:c r="B60" s="2" t="str">
        <x:v>SDLA</x:v>
      </x:c>
      <x:c r="C60" s="2" t="n">
        <x:v>2028</x:v>
      </x:c>
      <x:c r="D60" s="19" t="n">
        <x:f>参数与事实!H$5</x:f>
        <x:v>30</x:v>
      </x:c>
      <x:c r="E60" s="19" t="n">
        <x:f>D60/(1+参数与事实!$B$5)</x:f>
        <x:v>26.548672566371685</x:v>
      </x:c>
      <x:c r="F60" s="19" t="n">
        <x:f>E60*参数与事实!H31</x:f>
        <x:v>25.2212389380531</x:v>
      </x:c>
      <x:c r="G60" s="19" t="n">
        <x:f>参数与事实!J31</x:f>
        <x:v>0.2</x:v>
      </x:c>
      <x:c r="H60" s="20" t="n">
        <x:f>参数与事实!C31</x:f>
        <x:v>1</x:v>
      </x:c>
      <x:c r="I60" s="19" t="n">
        <x:f>参数与事实!E31+参数与事实!$B$9</x:f>
        <x:v>5.4</x:v>
      </x:c>
      <x:c r="J60" s="21" t="n">
        <x:f>参数与事实!F31+参数与事实!M31</x:f>
        <x:v>0.03</x:v>
      </x:c>
      <x:c r="K60" s="21" t="n">
        <x:f>参数与事实!G31</x:f>
        <x:v>0.35</x:v>
      </x:c>
      <x:c r="L60" s="15" t="n">
        <x:f>(F60*(1-J60)-I60)*G60</x:f>
        <x:v>3.8129203539823013</x:v>
      </x:c>
      <x:c r="M60" s="15" t="n">
        <x:f>MAX(L60,0)*K60</x:f>
        <x:v>1.3345221238938054</x:v>
      </x:c>
      <x:c r="N60" s="22" t="n">
        <x:f>(L60-M60)*H60</x:f>
        <x:v>2.478398230088496</x:v>
      </x:c>
    </x:row>
    <x:row r="61" ht="23" customHeight="1">
      <x:c r="A61" s="2" t="str">
        <x:v>盛新锂能</x:v>
      </x:c>
      <x:c r="B61" s="2" t="str">
        <x:v>SDLA</x:v>
      </x:c>
      <x:c r="C61" s="2" t="n">
        <x:v>2029</x:v>
      </x:c>
      <x:c r="D61" s="19" t="n">
        <x:f>参数与事实!E$5</x:f>
        <x:v>10</x:v>
      </x:c>
      <x:c r="E61" s="19" t="n">
        <x:f>D61/(1+参数与事实!$B$5)</x:f>
        <x:v>8.849557522123895</x:v>
      </x:c>
      <x:c r="F61" s="19" t="n">
        <x:f>E61*参数与事实!H31</x:f>
        <x:v>8.4070796460177</x:v>
      </x:c>
      <x:c r="G61" s="19" t="n">
        <x:f>参数与事实!K31</x:f>
        <x:v>0.2</x:v>
      </x:c>
      <x:c r="H61" s="20" t="n">
        <x:f>参数与事实!C31</x:f>
        <x:v>1</x:v>
      </x:c>
      <x:c r="I61" s="19" t="n">
        <x:f>参数与事实!E31+参数与事实!$B$9</x:f>
        <x:v>5.4</x:v>
      </x:c>
      <x:c r="J61" s="21" t="n">
        <x:f>参数与事实!F31+参数与事实!N31</x:f>
        <x:v>0.03</x:v>
      </x:c>
      <x:c r="K61" s="21" t="n">
        <x:f>参数与事实!G31</x:f>
        <x:v>0.35</x:v>
      </x:c>
      <x:c r="L61" s="15" t="n">
        <x:f>(F61*(1-J61)-I61)*G61</x:f>
        <x:v>0.5509734513274335</x:v>
      </x:c>
      <x:c r="M61" s="15" t="n">
        <x:f>MAX(L61,0)*K61</x:f>
        <x:v>0.1928407079646017</x:v>
      </x:c>
      <x:c r="N61" s="22" t="n">
        <x:f>(L61-M61)*H61</x:f>
        <x:v>0.35813274336283174</x:v>
      </x:c>
    </x:row>
    <x:row r="62" ht="23" customHeight="1">
      <x:c r="A62" s="2" t="str">
        <x:v>盛新锂能</x:v>
      </x:c>
      <x:c r="B62" s="2" t="str">
        <x:v>SDLA</x:v>
      </x:c>
      <x:c r="C62" s="2" t="n">
        <x:v>2029</x:v>
      </x:c>
      <x:c r="D62" s="19" t="n">
        <x:f>参数与事实!F$5</x:f>
        <x:v>15</x:v>
      </x:c>
      <x:c r="E62" s="19" t="n">
        <x:f>D62/(1+参数与事实!$B$5)</x:f>
        <x:v>13.274336283185843</x:v>
      </x:c>
      <x:c r="F62" s="19" t="n">
        <x:f>E62*参数与事实!H31</x:f>
        <x:v>12.61061946902655</x:v>
      </x:c>
      <x:c r="G62" s="19" t="n">
        <x:f>参数与事实!K31</x:f>
        <x:v>0.2</x:v>
      </x:c>
      <x:c r="H62" s="20" t="n">
        <x:f>参数与事实!C31</x:f>
        <x:v>1</x:v>
      </x:c>
      <x:c r="I62" s="19" t="n">
        <x:f>参数与事实!E31+参数与事实!$B$9</x:f>
        <x:v>5.4</x:v>
      </x:c>
      <x:c r="J62" s="21" t="n">
        <x:f>参数与事实!F31+参数与事实!N31</x:f>
        <x:v>0.03</x:v>
      </x:c>
      <x:c r="K62" s="21" t="n">
        <x:f>参数与事实!G31</x:f>
        <x:v>0.35</x:v>
      </x:c>
      <x:c r="L62" s="15" t="n">
        <x:f>(F62*(1-J62)-I62)*G62</x:f>
        <x:v>1.3664601769911506</x:v>
      </x:c>
      <x:c r="M62" s="15" t="n">
        <x:f>MAX(L62,0)*K62</x:f>
        <x:v>0.4782610619469027</x:v>
      </x:c>
      <x:c r="N62" s="22" t="n">
        <x:f>(L62-M62)*H62</x:f>
        <x:v>0.8881991150442479</x:v>
      </x:c>
    </x:row>
    <x:row r="63" ht="23" customHeight="1">
      <x:c r="A63" s="2" t="str">
        <x:v>盛新锂能</x:v>
      </x:c>
      <x:c r="B63" s="2" t="str">
        <x:v>SDLA</x:v>
      </x:c>
      <x:c r="C63" s="2" t="n">
        <x:v>2029</x:v>
      </x:c>
      <x:c r="D63" s="19" t="n">
        <x:f>参数与事实!G$5</x:f>
        <x:v>20</x:v>
      </x:c>
      <x:c r="E63" s="19" t="n">
        <x:f>D63/(1+参数与事实!$B$5)</x:f>
        <x:v>17.69911504424779</x:v>
      </x:c>
      <x:c r="F63" s="19" t="n">
        <x:f>E63*参数与事实!H31</x:f>
        <x:v>16.8141592920354</x:v>
      </x:c>
      <x:c r="G63" s="19" t="n">
        <x:f>参数与事实!K31</x:f>
        <x:v>0.2</x:v>
      </x:c>
      <x:c r="H63" s="20" t="n">
        <x:f>参数与事实!C31</x:f>
        <x:v>1</x:v>
      </x:c>
      <x:c r="I63" s="19" t="n">
        <x:f>参数与事实!E31+参数与事实!$B$9</x:f>
        <x:v>5.4</x:v>
      </x:c>
      <x:c r="J63" s="21" t="n">
        <x:f>参数与事实!F31+参数与事实!N31</x:f>
        <x:v>0.03</x:v>
      </x:c>
      <x:c r="K63" s="21" t="n">
        <x:f>参数与事实!G31</x:f>
        <x:v>0.35</x:v>
      </x:c>
      <x:c r="L63" s="15" t="n">
        <x:f>(F63*(1-J63)-I63)*G63</x:f>
        <x:v>2.1819469026548672</x:v>
      </x:c>
      <x:c r="M63" s="15" t="n">
        <x:f>MAX(L63,0)*K63</x:f>
        <x:v>0.7636814159292035</x:v>
      </x:c>
      <x:c r="N63" s="22" t="n">
        <x:f>(L63-M63)*H63</x:f>
        <x:v>1.4182654867256637</x:v>
      </x:c>
    </x:row>
    <x:row r="64" ht="23" customHeight="1">
      <x:c r="A64" s="2" t="str">
        <x:v>盛新锂能</x:v>
      </x:c>
      <x:c r="B64" s="2" t="str">
        <x:v>SDLA</x:v>
      </x:c>
      <x:c r="C64" s="2" t="n">
        <x:v>2029</x:v>
      </x:c>
      <x:c r="D64" s="19" t="n">
        <x:f>参数与事实!H$5</x:f>
        <x:v>30</x:v>
      </x:c>
      <x:c r="E64" s="19" t="n">
        <x:f>D64/(1+参数与事实!$B$5)</x:f>
        <x:v>26.548672566371685</x:v>
      </x:c>
      <x:c r="F64" s="19" t="n">
        <x:f>E64*参数与事实!H31</x:f>
        <x:v>25.2212389380531</x:v>
      </x:c>
      <x:c r="G64" s="19" t="n">
        <x:f>参数与事实!K31</x:f>
        <x:v>0.2</x:v>
      </x:c>
      <x:c r="H64" s="20" t="n">
        <x:f>参数与事实!C31</x:f>
        <x:v>1</x:v>
      </x:c>
      <x:c r="I64" s="19" t="n">
        <x:f>参数与事实!E31+参数与事实!$B$9</x:f>
        <x:v>5.4</x:v>
      </x:c>
      <x:c r="J64" s="21" t="n">
        <x:f>参数与事实!F31+参数与事实!N31</x:f>
        <x:v>0.03</x:v>
      </x:c>
      <x:c r="K64" s="21" t="n">
        <x:f>参数与事实!G31</x:f>
        <x:v>0.35</x:v>
      </x:c>
      <x:c r="L64" s="15" t="n">
        <x:f>(F64*(1-J64)-I64)*G64</x:f>
        <x:v>3.8129203539823013</x:v>
      </x:c>
      <x:c r="M64" s="15" t="n">
        <x:f>MAX(L64,0)*K64</x:f>
        <x:v>1.3345221238938054</x:v>
      </x:c>
      <x:c r="N64" s="22" t="n">
        <x:f>(L64-M64)*H64</x:f>
        <x:v>2.478398230088496</x:v>
      </x:c>
    </x:row>
    <x:row r="65" ht="23" customHeight="1">
      <x:c r="A65" s="2" t="str">
        <x:v>赣锋锂业</x:v>
      </x:c>
      <x:c r="B65" s="2" t="str">
        <x:v>Mt Marion</x:v>
      </x:c>
      <x:c r="C65" s="2" t="n">
        <x:v>2027</x:v>
      </x:c>
      <x:c r="D65" s="19" t="n">
        <x:f>参数与事实!E$5</x:f>
        <x:v>10</x:v>
      </x:c>
      <x:c r="E65" s="19" t="n">
        <x:f>D65/(1+参数与事实!$B$5)</x:f>
        <x:v>8.849557522123895</x:v>
      </x:c>
      <x:c r="F65" s="19" t="n">
        <x:f>MAX(参数与事实!$B$8,E65*参数与事实!$B$7-参数与事实!$B$10)</x:f>
        <x:v>5.764601769911506</x:v>
      </x:c>
      <x:c r="G65" s="19" t="n">
        <x:f>参数与事实!I32</x:f>
        <x:v>5.5</x:v>
      </x:c>
      <x:c r="H65" s="20" t="n">
        <x:f>参数与事实!C32</x:f>
        <x:v>0.5</x:v>
      </x:c>
      <x:c r="I65" s="19" t="n">
        <x:f>参数与事实!E32+参数与事实!$B$9</x:f>
        <x:v>4.4</x:v>
      </x:c>
      <x:c r="J65" s="21" t="n">
        <x:f>参数与事实!F32+参数与事实!L32</x:f>
        <x:v>0.05</x:v>
      </x:c>
      <x:c r="K65" s="21" t="n">
        <x:f>参数与事实!G32</x:f>
        <x:v>0.3</x:v>
      </x:c>
      <x:c r="L65" s="15" t="n">
        <x:f>(F65*(1-J65)-I65)*G65</x:f>
        <x:v>5.920044247787614</x:v>
      </x:c>
      <x:c r="M65" s="15" t="n">
        <x:f>MAX(L65,0)*K65</x:f>
        <x:v>1.7760132743362842</x:v>
      </x:c>
      <x:c r="N65" s="22" t="n">
        <x:f>(L65-M65)*H65</x:f>
        <x:v>2.072015486725665</x:v>
      </x:c>
    </x:row>
    <x:row r="66" ht="23" customHeight="1">
      <x:c r="A66" s="2" t="str">
        <x:v>赣锋锂业</x:v>
      </x:c>
      <x:c r="B66" s="2" t="str">
        <x:v>Mt Marion</x:v>
      </x:c>
      <x:c r="C66" s="2" t="n">
        <x:v>2027</x:v>
      </x:c>
      <x:c r="D66" s="19" t="n">
        <x:f>参数与事实!F$5</x:f>
        <x:v>15</x:v>
      </x:c>
      <x:c r="E66" s="19" t="n">
        <x:f>D66/(1+参数与事实!$B$5)</x:f>
        <x:v>13.274336283185843</x:v>
      </x:c>
      <x:c r="F66" s="19" t="n">
        <x:f>MAX(参数与事实!$B$8,E66*参数与事实!$B$7-参数与事实!$B$10)</x:f>
        <x:v>9.74690265486726</x:v>
      </x:c>
      <x:c r="G66" s="19" t="n">
        <x:f>参数与事实!I32</x:f>
        <x:v>5.5</x:v>
      </x:c>
      <x:c r="H66" s="20" t="n">
        <x:f>参数与事实!C32</x:f>
        <x:v>0.5</x:v>
      </x:c>
      <x:c r="I66" s="19" t="n">
        <x:f>参数与事实!E32+参数与事实!$B$9</x:f>
        <x:v>4.4</x:v>
      </x:c>
      <x:c r="J66" s="21" t="n">
        <x:f>参数与事实!F32+参数与事实!L32</x:f>
        <x:v>0.05</x:v>
      </x:c>
      <x:c r="K66" s="21" t="n">
        <x:f>参数与事实!G32</x:f>
        <x:v>0.3</x:v>
      </x:c>
      <x:c r="L66" s="15" t="n">
        <x:f>(F66*(1-J66)-I66)*G66</x:f>
        <x:v>26.727566371681423</x:v>
      </x:c>
      <x:c r="M66" s="15" t="n">
        <x:f>MAX(L66,0)*K66</x:f>
        <x:v>8.018269911504426</x:v>
      </x:c>
      <x:c r="N66" s="22" t="n">
        <x:f>(L66-M66)*H66</x:f>
        <x:v>9.354648230088499</x:v>
      </x:c>
    </x:row>
    <x:row r="67" ht="23" customHeight="1">
      <x:c r="A67" s="2" t="str">
        <x:v>赣锋锂业</x:v>
      </x:c>
      <x:c r="B67" s="2" t="str">
        <x:v>Mt Marion</x:v>
      </x:c>
      <x:c r="C67" s="2" t="n">
        <x:v>2027</x:v>
      </x:c>
      <x:c r="D67" s="19" t="n">
        <x:f>参数与事实!G$5</x:f>
        <x:v>20</x:v>
      </x:c>
      <x:c r="E67" s="19" t="n">
        <x:f>D67/(1+参数与事实!$B$5)</x:f>
        <x:v>17.69911504424779</x:v>
      </x:c>
      <x:c r="F67" s="19" t="n">
        <x:f>MAX(参数与事实!$B$8,E67*参数与事实!$B$7-参数与事实!$B$10)</x:f>
        <x:v>13.729203539823011</x:v>
      </x:c>
      <x:c r="G67" s="19" t="n">
        <x:f>参数与事实!I32</x:f>
        <x:v>5.5</x:v>
      </x:c>
      <x:c r="H67" s="20" t="n">
        <x:f>参数与事实!C32</x:f>
        <x:v>0.5</x:v>
      </x:c>
      <x:c r="I67" s="19" t="n">
        <x:f>参数与事实!E32+参数与事实!$B$9</x:f>
        <x:v>4.4</x:v>
      </x:c>
      <x:c r="J67" s="21" t="n">
        <x:f>参数与事实!F32+参数与事实!L32</x:f>
        <x:v>0.05</x:v>
      </x:c>
      <x:c r="K67" s="21" t="n">
        <x:f>参数与事实!G32</x:f>
        <x:v>0.3</x:v>
      </x:c>
      <x:c r="L67" s="15" t="n">
        <x:f>(F67*(1-J67)-I67)*G67</x:f>
        <x:v>47.53508849557523</x:v>
      </x:c>
      <x:c r="M67" s="15" t="n">
        <x:f>MAX(L67,0)*K67</x:f>
        <x:v>14.26052654867257</x:v>
      </x:c>
      <x:c r="N67" s="22" t="n">
        <x:f>(L67-M67)*H67</x:f>
        <x:v>16.637280973451332</x:v>
      </x:c>
    </x:row>
    <x:row r="68" ht="23" customHeight="1">
      <x:c r="A68" s="2" t="str">
        <x:v>赣锋锂业</x:v>
      </x:c>
      <x:c r="B68" s="2" t="str">
        <x:v>Mt Marion</x:v>
      </x:c>
      <x:c r="C68" s="2" t="n">
        <x:v>2027</x:v>
      </x:c>
      <x:c r="D68" s="19" t="n">
        <x:f>参数与事实!H$5</x:f>
        <x:v>30</x:v>
      </x:c>
      <x:c r="E68" s="19" t="n">
        <x:f>D68/(1+参数与事实!$B$5)</x:f>
        <x:v>26.548672566371685</x:v>
      </x:c>
      <x:c r="F68" s="19" t="n">
        <x:f>MAX(参数与事实!$B$8,E68*参数与事实!$B$7-参数与事实!$B$10)</x:f>
        <x:v>21.69380530973452</x:v>
      </x:c>
      <x:c r="G68" s="19" t="n">
        <x:f>参数与事实!I32</x:f>
        <x:v>5.5</x:v>
      </x:c>
      <x:c r="H68" s="20" t="n">
        <x:f>参数与事实!C32</x:f>
        <x:v>0.5</x:v>
      </x:c>
      <x:c r="I68" s="19" t="n">
        <x:f>参数与事实!E32+参数与事实!$B$9</x:f>
        <x:v>4.4</x:v>
      </x:c>
      <x:c r="J68" s="21" t="n">
        <x:f>参数与事实!F32+参数与事实!L32</x:f>
        <x:v>0.05</x:v>
      </x:c>
      <x:c r="K68" s="21" t="n">
        <x:f>参数与事实!G32</x:f>
        <x:v>0.3</x:v>
      </x:c>
      <x:c r="L68" s="15" t="n">
        <x:f>(F68*(1-J68)-I68)*G68</x:f>
        <x:v>89.15013274336283</x:v>
      </x:c>
      <x:c r="M68" s="15" t="n">
        <x:f>MAX(L68,0)*K68</x:f>
        <x:v>26.74503982300885</x:v>
      </x:c>
      <x:c r="N68" s="22" t="n">
        <x:f>(L68-M68)*H68</x:f>
        <x:v>31.20254646017699</x:v>
      </x:c>
    </x:row>
    <x:row r="69" ht="23" customHeight="1">
      <x:c r="A69" s="2" t="str">
        <x:v>赣锋锂业</x:v>
      </x:c>
      <x:c r="B69" s="2" t="str">
        <x:v>Mt Marion</x:v>
      </x:c>
      <x:c r="C69" s="2" t="n">
        <x:v>2028</x:v>
      </x:c>
      <x:c r="D69" s="19" t="n">
        <x:f>参数与事实!E$5</x:f>
        <x:v>10</x:v>
      </x:c>
      <x:c r="E69" s="19" t="n">
        <x:f>D69/(1+参数与事实!$B$5)</x:f>
        <x:v>8.849557522123895</x:v>
      </x:c>
      <x:c r="F69" s="19" t="n">
        <x:f>MAX(参数与事实!$B$8,E69*参数与事实!$B$7-参数与事实!$B$10)</x:f>
        <x:v>5.764601769911506</x:v>
      </x:c>
      <x:c r="G69" s="19" t="n">
        <x:f>参数与事实!J32</x:f>
        <x:v>6.5</x:v>
      </x:c>
      <x:c r="H69" s="20" t="n">
        <x:f>参数与事实!C32</x:f>
        <x:v>0.5</x:v>
      </x:c>
      <x:c r="I69" s="19" t="n">
        <x:f>参数与事实!E32+参数与事实!$B$9</x:f>
        <x:v>4.4</x:v>
      </x:c>
      <x:c r="J69" s="21" t="n">
        <x:f>参数与事实!F32+参数与事实!M32</x:f>
        <x:v>0.05</x:v>
      </x:c>
      <x:c r="K69" s="21" t="n">
        <x:f>参数与事实!G32</x:f>
        <x:v>0.3</x:v>
      </x:c>
      <x:c r="L69" s="15" t="n">
        <x:f>(F69*(1-J69)-I69)*G69</x:f>
        <x:v>6.996415929203544</x:v>
      </x:c>
      <x:c r="M69" s="15" t="n">
        <x:f>MAX(L69,0)*K69</x:f>
        <x:v>2.098924778761063</x:v>
      </x:c>
      <x:c r="N69" s="22" t="n">
        <x:f>(L69-M69)*H69</x:f>
        <x:v>2.4487455752212406</x:v>
      </x:c>
    </x:row>
    <x:row r="70" ht="23" customHeight="1">
      <x:c r="A70" s="2" t="str">
        <x:v>赣锋锂业</x:v>
      </x:c>
      <x:c r="B70" s="2" t="str">
        <x:v>Mt Marion</x:v>
      </x:c>
      <x:c r="C70" s="2" t="n">
        <x:v>2028</x:v>
      </x:c>
      <x:c r="D70" s="19" t="n">
        <x:f>参数与事实!F$5</x:f>
        <x:v>15</x:v>
      </x:c>
      <x:c r="E70" s="19" t="n">
        <x:f>D70/(1+参数与事实!$B$5)</x:f>
        <x:v>13.274336283185843</x:v>
      </x:c>
      <x:c r="F70" s="19" t="n">
        <x:f>MAX(参数与事实!$B$8,E70*参数与事实!$B$7-参数与事实!$B$10)</x:f>
        <x:v>9.74690265486726</x:v>
      </x:c>
      <x:c r="G70" s="19" t="n">
        <x:f>参数与事实!J32</x:f>
        <x:v>6.5</x:v>
      </x:c>
      <x:c r="H70" s="20" t="n">
        <x:f>参数与事实!C32</x:f>
        <x:v>0.5</x:v>
      </x:c>
      <x:c r="I70" s="19" t="n">
        <x:f>参数与事实!E32+参数与事实!$B$9</x:f>
        <x:v>4.4</x:v>
      </x:c>
      <x:c r="J70" s="21" t="n">
        <x:f>参数与事实!F32+参数与事实!M32</x:f>
        <x:v>0.05</x:v>
      </x:c>
      <x:c r="K70" s="21" t="n">
        <x:f>参数与事实!G32</x:f>
        <x:v>0.3</x:v>
      </x:c>
      <x:c r="L70" s="15" t="n">
        <x:f>(F70*(1-J70)-I70)*G70</x:f>
        <x:v>31.587123893805316</x:v>
      </x:c>
      <x:c r="M70" s="15" t="n">
        <x:f>MAX(L70,0)*K70</x:f>
        <x:v>9.476137168141594</x:v>
      </x:c>
      <x:c r="N70" s="22" t="n">
        <x:f>(L70-M70)*H70</x:f>
        <x:v>11.05549336283186</x:v>
      </x:c>
    </x:row>
    <x:row r="71" ht="23" customHeight="1">
      <x:c r="A71" s="2" t="str">
        <x:v>赣锋锂业</x:v>
      </x:c>
      <x:c r="B71" s="2" t="str">
        <x:v>Mt Marion</x:v>
      </x:c>
      <x:c r="C71" s="2" t="n">
        <x:v>2028</x:v>
      </x:c>
      <x:c r="D71" s="19" t="n">
        <x:f>参数与事实!G$5</x:f>
        <x:v>20</x:v>
      </x:c>
      <x:c r="E71" s="19" t="n">
        <x:f>D71/(1+参数与事实!$B$5)</x:f>
        <x:v>17.69911504424779</x:v>
      </x:c>
      <x:c r="F71" s="19" t="n">
        <x:f>MAX(参数与事实!$B$8,E71*参数与事实!$B$7-参数与事实!$B$10)</x:f>
        <x:v>13.729203539823011</x:v>
      </x:c>
      <x:c r="G71" s="19" t="n">
        <x:f>参数与事实!J32</x:f>
        <x:v>6.5</x:v>
      </x:c>
      <x:c r="H71" s="20" t="n">
        <x:f>参数与事实!C32</x:f>
        <x:v>0.5</x:v>
      </x:c>
      <x:c r="I71" s="19" t="n">
        <x:f>参数与事实!E32+参数与事实!$B$9</x:f>
        <x:v>4.4</x:v>
      </x:c>
      <x:c r="J71" s="21" t="n">
        <x:f>参数与事实!F32+参数与事实!M32</x:f>
        <x:v>0.05</x:v>
      </x:c>
      <x:c r="K71" s="21" t="n">
        <x:f>参数与事实!G32</x:f>
        <x:v>0.3</x:v>
      </x:c>
      <x:c r="L71" s="15" t="n">
        <x:f>(F71*(1-J71)-I71)*G71</x:f>
        <x:v>56.17783185840709</x:v>
      </x:c>
      <x:c r="M71" s="15" t="n">
        <x:f>MAX(L71,0)*K71</x:f>
        <x:v>16.853349557522126</x:v>
      </x:c>
      <x:c r="N71" s="22" t="n">
        <x:f>(L71-M71)*H71</x:f>
        <x:v>19.662241150442483</x:v>
      </x:c>
    </x:row>
    <x:row r="72" ht="23" customHeight="1">
      <x:c r="A72" s="2" t="str">
        <x:v>赣锋锂业</x:v>
      </x:c>
      <x:c r="B72" s="2" t="str">
        <x:v>Mt Marion</x:v>
      </x:c>
      <x:c r="C72" s="2" t="n">
        <x:v>2028</x:v>
      </x:c>
      <x:c r="D72" s="19" t="n">
        <x:f>参数与事实!H$5</x:f>
        <x:v>30</x:v>
      </x:c>
      <x:c r="E72" s="19" t="n">
        <x:f>D72/(1+参数与事实!$B$5)</x:f>
        <x:v>26.548672566371685</x:v>
      </x:c>
      <x:c r="F72" s="19" t="n">
        <x:f>MAX(参数与事实!$B$8,E72*参数与事实!$B$7-参数与事实!$B$10)</x:f>
        <x:v>21.69380530973452</x:v>
      </x:c>
      <x:c r="G72" s="19" t="n">
        <x:f>参数与事实!J32</x:f>
        <x:v>6.5</x:v>
      </x:c>
      <x:c r="H72" s="20" t="n">
        <x:f>参数与事实!C32</x:f>
        <x:v>0.5</x:v>
      </x:c>
      <x:c r="I72" s="19" t="n">
        <x:f>参数与事实!E32+参数与事实!$B$9</x:f>
        <x:v>4.4</x:v>
      </x:c>
      <x:c r="J72" s="21" t="n">
        <x:f>参数与事实!F32+参数与事实!M32</x:f>
        <x:v>0.05</x:v>
      </x:c>
      <x:c r="K72" s="21" t="n">
        <x:f>参数与事实!G32</x:f>
        <x:v>0.3</x:v>
      </x:c>
      <x:c r="L72" s="15" t="n">
        <x:f>(F72*(1-J72)-I72)*G72</x:f>
        <x:v>105.35924778761063</x:v>
      </x:c>
      <x:c r="M72" s="15" t="n">
        <x:f>MAX(L72,0)*K72</x:f>
        <x:v>31.607774336283185</x:v>
      </x:c>
      <x:c r="N72" s="22" t="n">
        <x:f>(L72-M72)*H72</x:f>
        <x:v>36.87573672566372</x:v>
      </x:c>
    </x:row>
    <x:row r="73" ht="23" customHeight="1">
      <x:c r="A73" s="2" t="str">
        <x:v>赣锋锂业</x:v>
      </x:c>
      <x:c r="B73" s="2" t="str">
        <x:v>Mt Marion</x:v>
      </x:c>
      <x:c r="C73" s="2" t="n">
        <x:v>2029</x:v>
      </x:c>
      <x:c r="D73" s="19" t="n">
        <x:f>参数与事实!E$5</x:f>
        <x:v>10</x:v>
      </x:c>
      <x:c r="E73" s="19" t="n">
        <x:f>D73/(1+参数与事实!$B$5)</x:f>
        <x:v>8.849557522123895</x:v>
      </x:c>
      <x:c r="F73" s="19" t="n">
        <x:f>MAX(参数与事实!$B$8,E73*参数与事实!$B$7-参数与事实!$B$10)</x:f>
        <x:v>5.764601769911506</x:v>
      </x:c>
      <x:c r="G73" s="19" t="n">
        <x:f>参数与事实!K32</x:f>
        <x:v>7</x:v>
      </x:c>
      <x:c r="H73" s="20" t="n">
        <x:f>参数与事实!C32</x:f>
        <x:v>0.5</x:v>
      </x:c>
      <x:c r="I73" s="19" t="n">
        <x:f>参数与事实!E32+参数与事实!$B$9</x:f>
        <x:v>4.4</x:v>
      </x:c>
      <x:c r="J73" s="21" t="n">
        <x:f>参数与事实!F32+参数与事实!N32</x:f>
        <x:v>0.05</x:v>
      </x:c>
      <x:c r="K73" s="21" t="n">
        <x:f>参数与事实!G32</x:f>
        <x:v>0.3</x:v>
      </x:c>
      <x:c r="L73" s="15" t="n">
        <x:f>(F73*(1-J73)-I73)*G73</x:f>
        <x:v>7.534601769911509</x:v>
      </x:c>
      <x:c r="M73" s="15" t="n">
        <x:f>MAX(L73,0)*K73</x:f>
        <x:v>2.260380530973453</x:v>
      </x:c>
      <x:c r="N73" s="22" t="n">
        <x:f>(L73-M73)*H73</x:f>
        <x:v>2.637110619469028</x:v>
      </x:c>
    </x:row>
    <x:row r="74" ht="23" customHeight="1">
      <x:c r="A74" s="2" t="str">
        <x:v>赣锋锂业</x:v>
      </x:c>
      <x:c r="B74" s="2" t="str">
        <x:v>Mt Marion</x:v>
      </x:c>
      <x:c r="C74" s="2" t="n">
        <x:v>2029</x:v>
      </x:c>
      <x:c r="D74" s="19" t="n">
        <x:f>参数与事实!F$5</x:f>
        <x:v>15</x:v>
      </x:c>
      <x:c r="E74" s="19" t="n">
        <x:f>D74/(1+参数与事实!$B$5)</x:f>
        <x:v>13.274336283185843</x:v>
      </x:c>
      <x:c r="F74" s="19" t="n">
        <x:f>MAX(参数与事实!$B$8,E74*参数与事实!$B$7-参数与事实!$B$10)</x:f>
        <x:v>9.74690265486726</x:v>
      </x:c>
      <x:c r="G74" s="19" t="n">
        <x:f>参数与事实!K32</x:f>
        <x:v>7</x:v>
      </x:c>
      <x:c r="H74" s="20" t="n">
        <x:f>参数与事实!C32</x:f>
        <x:v>0.5</x:v>
      </x:c>
      <x:c r="I74" s="19" t="n">
        <x:f>参数与事实!E32+参数与事实!$B$9</x:f>
        <x:v>4.4</x:v>
      </x:c>
      <x:c r="J74" s="21" t="n">
        <x:f>参数与事实!F32+参数与事实!N32</x:f>
        <x:v>0.05</x:v>
      </x:c>
      <x:c r="K74" s="21" t="n">
        <x:f>参数与事实!G32</x:f>
        <x:v>0.3</x:v>
      </x:c>
      <x:c r="L74" s="15" t="n">
        <x:f>(F74*(1-J74)-I74)*G74</x:f>
        <x:v>34.016902654867266</x:v>
      </x:c>
      <x:c r="M74" s="15" t="n">
        <x:f>MAX(L74,0)*K74</x:f>
        <x:v>10.205070796460179</x:v>
      </x:c>
      <x:c r="N74" s="22" t="n">
        <x:f>(L74-M74)*H74</x:f>
        <x:v>11.905915929203545</x:v>
      </x:c>
    </x:row>
    <x:row r="75" ht="23" customHeight="1">
      <x:c r="A75" s="2" t="str">
        <x:v>赣锋锂业</x:v>
      </x:c>
      <x:c r="B75" s="2" t="str">
        <x:v>Mt Marion</x:v>
      </x:c>
      <x:c r="C75" s="2" t="n">
        <x:v>2029</x:v>
      </x:c>
      <x:c r="D75" s="19" t="n">
        <x:f>参数与事实!G$5</x:f>
        <x:v>20</x:v>
      </x:c>
      <x:c r="E75" s="19" t="n">
        <x:f>D75/(1+参数与事实!$B$5)</x:f>
        <x:v>17.69911504424779</x:v>
      </x:c>
      <x:c r="F75" s="19" t="n">
        <x:f>MAX(参数与事实!$B$8,E75*参数与事实!$B$7-参数与事实!$B$10)</x:f>
        <x:v>13.729203539823011</x:v>
      </x:c>
      <x:c r="G75" s="19" t="n">
        <x:f>参数与事实!K32</x:f>
        <x:v>7</x:v>
      </x:c>
      <x:c r="H75" s="20" t="n">
        <x:f>参数与事实!C32</x:f>
        <x:v>0.5</x:v>
      </x:c>
      <x:c r="I75" s="19" t="n">
        <x:f>参数与事实!E32+参数与事实!$B$9</x:f>
        <x:v>4.4</x:v>
      </x:c>
      <x:c r="J75" s="21" t="n">
        <x:f>参数与事实!F32+参数与事实!N32</x:f>
        <x:v>0.05</x:v>
      </x:c>
      <x:c r="K75" s="21" t="n">
        <x:f>参数与事实!G32</x:f>
        <x:v>0.3</x:v>
      </x:c>
      <x:c r="L75" s="15" t="n">
        <x:f>(F75*(1-J75)-I75)*G75</x:f>
        <x:v>60.49920353982302</x:v>
      </x:c>
      <x:c r="M75" s="15" t="n">
        <x:f>MAX(L75,0)*K75</x:f>
        <x:v>18.149761061946904</x:v>
      </x:c>
      <x:c r="N75" s="22" t="n">
        <x:f>(L75-M75)*H75</x:f>
        <x:v>21.17472123893806</x:v>
      </x:c>
    </x:row>
    <x:row r="76" ht="23" customHeight="1">
      <x:c r="A76" s="2" t="str">
        <x:v>赣锋锂业</x:v>
      </x:c>
      <x:c r="B76" s="2" t="str">
        <x:v>Mt Marion</x:v>
      </x:c>
      <x:c r="C76" s="2" t="n">
        <x:v>2029</x:v>
      </x:c>
      <x:c r="D76" s="19" t="n">
        <x:f>参数与事实!H$5</x:f>
        <x:v>30</x:v>
      </x:c>
      <x:c r="E76" s="19" t="n">
        <x:f>D76/(1+参数与事实!$B$5)</x:f>
        <x:v>26.548672566371685</x:v>
      </x:c>
      <x:c r="F76" s="19" t="n">
        <x:f>MAX(参数与事实!$B$8,E76*参数与事实!$B$7-参数与事实!$B$10)</x:f>
        <x:v>21.69380530973452</x:v>
      </x:c>
      <x:c r="G76" s="19" t="n">
        <x:f>参数与事实!K32</x:f>
        <x:v>7</x:v>
      </x:c>
      <x:c r="H76" s="20" t="n">
        <x:f>参数与事实!C32</x:f>
        <x:v>0.5</x:v>
      </x:c>
      <x:c r="I76" s="19" t="n">
        <x:f>参数与事实!E32+参数与事实!$B$9</x:f>
        <x:v>4.4</x:v>
      </x:c>
      <x:c r="J76" s="21" t="n">
        <x:f>参数与事实!F32+参数与事实!N32</x:f>
        <x:v>0.05</x:v>
      </x:c>
      <x:c r="K76" s="21" t="n">
        <x:f>参数与事实!G32</x:f>
        <x:v>0.3</x:v>
      </x:c>
      <x:c r="L76" s="15" t="n">
        <x:f>(F76*(1-J76)-I76)*G76</x:f>
        <x:v>113.46380530973451</x:v>
      </x:c>
      <x:c r="M76" s="15" t="n">
        <x:f>MAX(L76,0)*K76</x:f>
        <x:v>34.03914159292035</x:v>
      </x:c>
      <x:c r="N76" s="22" t="n">
        <x:f>(L76-M76)*H76</x:f>
        <x:v>39.71233185840708</x:v>
      </x:c>
    </x:row>
    <x:row r="77" ht="23" customHeight="1">
      <x:c r="A77" s="2" t="str">
        <x:v>赣锋锂业</x:v>
      </x:c>
      <x:c r="B77" s="2" t="str">
        <x:v>Goulamina一期</x:v>
      </x:c>
      <x:c r="C77" s="2" t="n">
        <x:v>2027</x:v>
      </x:c>
      <x:c r="D77" s="19" t="n">
        <x:f>参数与事实!E$5</x:f>
        <x:v>10</x:v>
      </x:c>
      <x:c r="E77" s="19" t="n">
        <x:f>D77/(1+参数与事实!$B$5)</x:f>
        <x:v>8.849557522123895</x:v>
      </x:c>
      <x:c r="F77" s="19" t="n">
        <x:f>MAX(参数与事实!$B$8,E77*参数与事实!$B$7-参数与事实!$B$10)</x:f>
        <x:v>5.764601769911506</x:v>
      </x:c>
      <x:c r="G77" s="19" t="n">
        <x:f>参数与事实!I33</x:f>
        <x:v>6</x:v>
      </x:c>
      <x:c r="H77" s="20" t="n">
        <x:f>参数与事实!C33</x:f>
        <x:v>0.65</x:v>
      </x:c>
      <x:c r="I77" s="19" t="n">
        <x:f>参数与事实!E33+参数与事实!$B$9</x:f>
        <x:v>3.5</x:v>
      </x:c>
      <x:c r="J77" s="21" t="n">
        <x:f>参数与事实!F33+参数与事实!L33</x:f>
        <x:v>0.085</x:v>
      </x:c>
      <x:c r="K77" s="21" t="n">
        <x:f>参数与事实!G33</x:f>
        <x:v>0.25</x:v>
      </x:c>
      <x:c r="L77" s="15" t="n">
        <x:f>(F77*(1-J77)-I77)*G77</x:f>
        <x:v>10.647663716814169</x:v>
      </x:c>
      <x:c r="M77" s="15" t="n">
        <x:f>MAX(L77,0)*K77</x:f>
        <x:v>2.661915929203542</x:v>
      </x:c>
      <x:c r="N77" s="22" t="n">
        <x:f>(L77-M77)*H77</x:f>
        <x:v>5.190736061946907</x:v>
      </x:c>
    </x:row>
    <x:row r="78" ht="23" customHeight="1">
      <x:c r="A78" s="2" t="str">
        <x:v>赣锋锂业</x:v>
      </x:c>
      <x:c r="B78" s="2" t="str">
        <x:v>Goulamina一期</x:v>
      </x:c>
      <x:c r="C78" s="2" t="n">
        <x:v>2027</x:v>
      </x:c>
      <x:c r="D78" s="19" t="n">
        <x:f>参数与事实!F$5</x:f>
        <x:v>15</x:v>
      </x:c>
      <x:c r="E78" s="19" t="n">
        <x:f>D78/(1+参数与事实!$B$5)</x:f>
        <x:v>13.274336283185843</x:v>
      </x:c>
      <x:c r="F78" s="19" t="n">
        <x:f>MAX(参数与事实!$B$8,E78*参数与事实!$B$7-参数与事实!$B$10)</x:f>
        <x:v>9.74690265486726</x:v>
      </x:c>
      <x:c r="G78" s="19" t="n">
        <x:f>参数与事实!I33</x:f>
        <x:v>6</x:v>
      </x:c>
      <x:c r="H78" s="20" t="n">
        <x:f>参数与事实!C33</x:f>
        <x:v>0.65</x:v>
      </x:c>
      <x:c r="I78" s="19" t="n">
        <x:f>参数与事实!E33+参数与事实!$B$9</x:f>
        <x:v>3.5</x:v>
      </x:c>
      <x:c r="J78" s="21" t="n">
        <x:f>参数与事实!F33+参数与事实!L33</x:f>
        <x:v>0.085</x:v>
      </x:c>
      <x:c r="K78" s="21" t="n">
        <x:f>参数与事实!G33</x:f>
        <x:v>0.25</x:v>
      </x:c>
      <x:c r="L78" s="15" t="n">
        <x:f>(F78*(1-J78)-I78)*G78</x:f>
        <x:v>32.510495575221256</x:v>
      </x:c>
      <x:c r="M78" s="15" t="n">
        <x:f>MAX(L78,0)*K78</x:f>
        <x:v>8.127623893805314</x:v>
      </x:c>
      <x:c r="N78" s="22" t="n">
        <x:f>(L78-M78)*H78</x:f>
        <x:v>15.848866592920363</x:v>
      </x:c>
    </x:row>
    <x:row r="79" ht="23" customHeight="1">
      <x:c r="A79" s="2" t="str">
        <x:v>赣锋锂业</x:v>
      </x:c>
      <x:c r="B79" s="2" t="str">
        <x:v>Goulamina一期</x:v>
      </x:c>
      <x:c r="C79" s="2" t="n">
        <x:v>2027</x:v>
      </x:c>
      <x:c r="D79" s="19" t="n">
        <x:f>参数与事实!G$5</x:f>
        <x:v>20</x:v>
      </x:c>
      <x:c r="E79" s="19" t="n">
        <x:f>D79/(1+参数与事实!$B$5)</x:f>
        <x:v>17.69911504424779</x:v>
      </x:c>
      <x:c r="F79" s="19" t="n">
        <x:f>MAX(参数与事实!$B$8,E79*参数与事实!$B$7-参数与事实!$B$10)</x:f>
        <x:v>13.729203539823011</x:v>
      </x:c>
      <x:c r="G79" s="19" t="n">
        <x:f>参数与事实!I33</x:f>
        <x:v>6</x:v>
      </x:c>
      <x:c r="H79" s="20" t="n">
        <x:f>参数与事实!C33</x:f>
        <x:v>0.65</x:v>
      </x:c>
      <x:c r="I79" s="19" t="n">
        <x:f>参数与事实!E33+参数与事实!$B$9</x:f>
        <x:v>3.5</x:v>
      </x:c>
      <x:c r="J79" s="21" t="n">
        <x:f>参数与事实!F33+参数与事实!L33</x:f>
        <x:v>0.085</x:v>
      </x:c>
      <x:c r="K79" s="21" t="n">
        <x:f>参数与事实!G33</x:f>
        <x:v>0.25</x:v>
      </x:c>
      <x:c r="L79" s="15" t="n">
        <x:f>(F79*(1-J79)-I79)*G79</x:f>
        <x:v>54.37332743362833</x:v>
      </x:c>
      <x:c r="M79" s="15" t="n">
        <x:f>MAX(L79,0)*K79</x:f>
        <x:v>13.593331858407083</x:v>
      </x:c>
      <x:c r="N79" s="22" t="n">
        <x:f>(L79-M79)*H79</x:f>
        <x:v>26.506997123893814</x:v>
      </x:c>
    </x:row>
    <x:row r="80" ht="23" customHeight="1">
      <x:c r="A80" s="2" t="str">
        <x:v>赣锋锂业</x:v>
      </x:c>
      <x:c r="B80" s="2" t="str">
        <x:v>Goulamina一期</x:v>
      </x:c>
      <x:c r="C80" s="2" t="n">
        <x:v>2027</x:v>
      </x:c>
      <x:c r="D80" s="19" t="n">
        <x:f>参数与事实!H$5</x:f>
        <x:v>30</x:v>
      </x:c>
      <x:c r="E80" s="19" t="n">
        <x:f>D80/(1+参数与事实!$B$5)</x:f>
        <x:v>26.548672566371685</x:v>
      </x:c>
      <x:c r="F80" s="19" t="n">
        <x:f>MAX(参数与事实!$B$8,E80*参数与事实!$B$7-参数与事实!$B$10)</x:f>
        <x:v>21.69380530973452</x:v>
      </x:c>
      <x:c r="G80" s="19" t="n">
        <x:f>参数与事实!I33</x:f>
        <x:v>6</x:v>
      </x:c>
      <x:c r="H80" s="20" t="n">
        <x:f>参数与事实!C33</x:f>
        <x:v>0.65</x:v>
      </x:c>
      <x:c r="I80" s="19" t="n">
        <x:f>参数与事实!E33+参数与事实!$B$9</x:f>
        <x:v>3.5</x:v>
      </x:c>
      <x:c r="J80" s="21" t="n">
        <x:f>参数与事实!F33+参数与事实!L33</x:f>
        <x:v>0.085</x:v>
      </x:c>
      <x:c r="K80" s="21" t="n">
        <x:f>参数与事实!G33</x:f>
        <x:v>0.25</x:v>
      </x:c>
      <x:c r="L80" s="15" t="n">
        <x:f>(F80*(1-J80)-I80)*G80</x:f>
        <x:v>98.09899115044252</x:v>
      </x:c>
      <x:c r="M80" s="15" t="n">
        <x:f>MAX(L80,0)*K80</x:f>
        <x:v>24.52474778761063</x:v>
      </x:c>
      <x:c r="N80" s="22" t="n">
        <x:f>(L80-M80)*H80</x:f>
        <x:v>47.82325818584072</x:v>
      </x:c>
    </x:row>
    <x:row r="81" ht="23" customHeight="1">
      <x:c r="A81" s="2" t="str">
        <x:v>赣锋锂业</x:v>
      </x:c>
      <x:c r="B81" s="2" t="str">
        <x:v>Goulamina一期</x:v>
      </x:c>
      <x:c r="C81" s="2" t="n">
        <x:v>2028</x:v>
      </x:c>
      <x:c r="D81" s="19" t="n">
        <x:f>参数与事实!E$5</x:f>
        <x:v>10</x:v>
      </x:c>
      <x:c r="E81" s="19" t="n">
        <x:f>D81/(1+参数与事实!$B$5)</x:f>
        <x:v>8.849557522123895</x:v>
      </x:c>
      <x:c r="F81" s="19" t="n">
        <x:f>MAX(参数与事实!$B$8,E81*参数与事实!$B$7-参数与事实!$B$10)</x:f>
        <x:v>5.764601769911506</x:v>
      </x:c>
      <x:c r="G81" s="19" t="n">
        <x:f>参数与事实!J33</x:f>
        <x:v>6.3</x:v>
      </x:c>
      <x:c r="H81" s="20" t="n">
        <x:f>参数与事实!C33</x:f>
        <x:v>0.65</x:v>
      </x:c>
      <x:c r="I81" s="19" t="n">
        <x:f>参数与事实!E33+参数与事实!$B$9</x:f>
        <x:v>3.5</x:v>
      </x:c>
      <x:c r="J81" s="21" t="n">
        <x:f>参数与事实!F33+参数与事实!M33</x:f>
        <x:v>0.085</x:v>
      </x:c>
      <x:c r="K81" s="21" t="n">
        <x:f>参数与事实!G33</x:f>
        <x:v>0.25</x:v>
      </x:c>
      <x:c r="L81" s="15" t="n">
        <x:f>(F81*(1-J81)-I81)*G81</x:f>
        <x:v>11.180046902654876</x:v>
      </x:c>
      <x:c r="M81" s="15" t="n">
        <x:f>MAX(L81,0)*K81</x:f>
        <x:v>2.795011725663719</x:v>
      </x:c>
      <x:c r="N81" s="22" t="n">
        <x:f>(L81-M81)*H81</x:f>
        <x:v>5.450272865044251</x:v>
      </x:c>
    </x:row>
    <x:row r="82" ht="23" customHeight="1">
      <x:c r="A82" s="2" t="str">
        <x:v>赣锋锂业</x:v>
      </x:c>
      <x:c r="B82" s="2" t="str">
        <x:v>Goulamina一期</x:v>
      </x:c>
      <x:c r="C82" s="2" t="n">
        <x:v>2028</x:v>
      </x:c>
      <x:c r="D82" s="19" t="n">
        <x:f>参数与事实!F$5</x:f>
        <x:v>15</x:v>
      </x:c>
      <x:c r="E82" s="19" t="n">
        <x:f>D82/(1+参数与事实!$B$5)</x:f>
        <x:v>13.274336283185843</x:v>
      </x:c>
      <x:c r="F82" s="19" t="n">
        <x:f>MAX(参数与事实!$B$8,E82*参数与事实!$B$7-参数与事实!$B$10)</x:f>
        <x:v>9.74690265486726</x:v>
      </x:c>
      <x:c r="G82" s="19" t="n">
        <x:f>参数与事实!J33</x:f>
        <x:v>6.3</x:v>
      </x:c>
      <x:c r="H82" s="20" t="n">
        <x:f>参数与事实!C33</x:f>
        <x:v>0.65</x:v>
      </x:c>
      <x:c r="I82" s="19" t="n">
        <x:f>参数与事实!E33+参数与事实!$B$9</x:f>
        <x:v>3.5</x:v>
      </x:c>
      <x:c r="J82" s="21" t="n">
        <x:f>参数与事实!F33+参数与事实!M33</x:f>
        <x:v>0.085</x:v>
      </x:c>
      <x:c r="K82" s="21" t="n">
        <x:f>参数与事实!G33</x:f>
        <x:v>0.25</x:v>
      </x:c>
      <x:c r="L82" s="15" t="n">
        <x:f>(F82*(1-J82)-I82)*G82</x:f>
        <x:v>34.13602035398232</x:v>
      </x:c>
      <x:c r="M82" s="15" t="n">
        <x:f>MAX(L82,0)*K82</x:f>
        <x:v>8.53400508849558</x:v>
      </x:c>
      <x:c r="N82" s="22" t="n">
        <x:f>(L82-M82)*H82</x:f>
        <x:v>16.641309922566382</x:v>
      </x:c>
    </x:row>
    <x:row r="83" ht="23" customHeight="1">
      <x:c r="A83" s="2" t="str">
        <x:v>赣锋锂业</x:v>
      </x:c>
      <x:c r="B83" s="2" t="str">
        <x:v>Goulamina一期</x:v>
      </x:c>
      <x:c r="C83" s="2" t="n">
        <x:v>2028</x:v>
      </x:c>
      <x:c r="D83" s="19" t="n">
        <x:f>参数与事实!G$5</x:f>
        <x:v>20</x:v>
      </x:c>
      <x:c r="E83" s="19" t="n">
        <x:f>D83/(1+参数与事实!$B$5)</x:f>
        <x:v>17.69911504424779</x:v>
      </x:c>
      <x:c r="F83" s="19" t="n">
        <x:f>MAX(参数与事实!$B$8,E83*参数与事实!$B$7-参数与事实!$B$10)</x:f>
        <x:v>13.729203539823011</x:v>
      </x:c>
      <x:c r="G83" s="19" t="n">
        <x:f>参数与事实!J33</x:f>
        <x:v>6.3</x:v>
      </x:c>
      <x:c r="H83" s="20" t="n">
        <x:f>参数与事实!C33</x:f>
        <x:v>0.65</x:v>
      </x:c>
      <x:c r="I83" s="19" t="n">
        <x:f>参数与事实!E33+参数与事实!$B$9</x:f>
        <x:v>3.5</x:v>
      </x:c>
      <x:c r="J83" s="21" t="n">
        <x:f>参数与事实!F33+参数与事实!M33</x:f>
        <x:v>0.085</x:v>
      </x:c>
      <x:c r="K83" s="21" t="n">
        <x:f>参数与事实!G33</x:f>
        <x:v>0.25</x:v>
      </x:c>
      <x:c r="L83" s="15" t="n">
        <x:f>(F83*(1-J83)-I83)*G83</x:f>
        <x:v>57.09199380530975</x:v>
      </x:c>
      <x:c r="M83" s="15" t="n">
        <x:f>MAX(L83,0)*K83</x:f>
        <x:v>14.272998451327437</x:v>
      </x:c>
      <x:c r="N83" s="22" t="n">
        <x:f>(L83-M83)*H83</x:f>
        <x:v>27.832346980088502</x:v>
      </x:c>
    </x:row>
    <x:row r="84" ht="23" customHeight="1">
      <x:c r="A84" s="2" t="str">
        <x:v>赣锋锂业</x:v>
      </x:c>
      <x:c r="B84" s="2" t="str">
        <x:v>Goulamina一期</x:v>
      </x:c>
      <x:c r="C84" s="2" t="n">
        <x:v>2028</x:v>
      </x:c>
      <x:c r="D84" s="19" t="n">
        <x:f>参数与事实!H$5</x:f>
        <x:v>30</x:v>
      </x:c>
      <x:c r="E84" s="19" t="n">
        <x:f>D84/(1+参数与事实!$B$5)</x:f>
        <x:v>26.548672566371685</x:v>
      </x:c>
      <x:c r="F84" s="19" t="n">
        <x:f>MAX(参数与事实!$B$8,E84*参数与事实!$B$7-参数与事实!$B$10)</x:f>
        <x:v>21.69380530973452</x:v>
      </x:c>
      <x:c r="G84" s="19" t="n">
        <x:f>参数与事实!J33</x:f>
        <x:v>6.3</x:v>
      </x:c>
      <x:c r="H84" s="20" t="n">
        <x:f>参数与事实!C33</x:f>
        <x:v>0.65</x:v>
      </x:c>
      <x:c r="I84" s="19" t="n">
        <x:f>参数与事实!E33+参数与事实!$B$9</x:f>
        <x:v>3.5</x:v>
      </x:c>
      <x:c r="J84" s="21" t="n">
        <x:f>参数与事实!F33+参数与事实!M33</x:f>
        <x:v>0.085</x:v>
      </x:c>
      <x:c r="K84" s="21" t="n">
        <x:f>参数与事实!G33</x:f>
        <x:v>0.25</x:v>
      </x:c>
      <x:c r="L84" s="15" t="n">
        <x:f>(F84*(1-J84)-I84)*G84</x:f>
        <x:v>103.00394070796463</x:v>
      </x:c>
      <x:c r="M84" s="15" t="n">
        <x:f>MAX(L84,0)*K84</x:f>
        <x:v>25.750985176991158</x:v>
      </x:c>
      <x:c r="N84" s="22" t="n">
        <x:f>(L84-M84)*H84</x:f>
        <x:v>50.214421095132764</x:v>
      </x:c>
    </x:row>
    <x:row r="85" ht="23" customHeight="1">
      <x:c r="A85" s="2" t="str">
        <x:v>赣锋锂业</x:v>
      </x:c>
      <x:c r="B85" s="2" t="str">
        <x:v>Goulamina一期</x:v>
      </x:c>
      <x:c r="C85" s="2" t="n">
        <x:v>2029</x:v>
      </x:c>
      <x:c r="D85" s="19" t="n">
        <x:f>参数与事实!E$5</x:f>
        <x:v>10</x:v>
      </x:c>
      <x:c r="E85" s="19" t="n">
        <x:f>D85/(1+参数与事实!$B$5)</x:f>
        <x:v>8.849557522123895</x:v>
      </x:c>
      <x:c r="F85" s="19" t="n">
        <x:f>MAX(参数与事实!$B$8,E85*参数与事实!$B$7-参数与事实!$B$10)</x:f>
        <x:v>5.764601769911506</x:v>
      </x:c>
      <x:c r="G85" s="19" t="n">
        <x:f>参数与事实!K33</x:f>
        <x:v>6.3</x:v>
      </x:c>
      <x:c r="H85" s="20" t="n">
        <x:f>参数与事实!C33</x:f>
        <x:v>0.65</x:v>
      </x:c>
      <x:c r="I85" s="19" t="n">
        <x:f>参数与事实!E33+参数与事实!$B$9</x:f>
        <x:v>3.5</x:v>
      </x:c>
      <x:c r="J85" s="21" t="n">
        <x:f>参数与事实!F33+参数与事实!N33</x:f>
        <x:v>0.085</x:v>
      </x:c>
      <x:c r="K85" s="21" t="n">
        <x:f>参数与事实!G33</x:f>
        <x:v>0.25</x:v>
      </x:c>
      <x:c r="L85" s="15" t="n">
        <x:f>(F85*(1-J85)-I85)*G85</x:f>
        <x:v>11.180046902654876</x:v>
      </x:c>
      <x:c r="M85" s="15" t="n">
        <x:f>MAX(L85,0)*K85</x:f>
        <x:v>2.795011725663719</x:v>
      </x:c>
      <x:c r="N85" s="22" t="n">
        <x:f>(L85-M85)*H85</x:f>
        <x:v>5.450272865044251</x:v>
      </x:c>
    </x:row>
    <x:row r="86" ht="23" customHeight="1">
      <x:c r="A86" s="2" t="str">
        <x:v>赣锋锂业</x:v>
      </x:c>
      <x:c r="B86" s="2" t="str">
        <x:v>Goulamina一期</x:v>
      </x:c>
      <x:c r="C86" s="2" t="n">
        <x:v>2029</x:v>
      </x:c>
      <x:c r="D86" s="19" t="n">
        <x:f>参数与事实!F$5</x:f>
        <x:v>15</x:v>
      </x:c>
      <x:c r="E86" s="19" t="n">
        <x:f>D86/(1+参数与事实!$B$5)</x:f>
        <x:v>13.274336283185843</x:v>
      </x:c>
      <x:c r="F86" s="19" t="n">
        <x:f>MAX(参数与事实!$B$8,E86*参数与事实!$B$7-参数与事实!$B$10)</x:f>
        <x:v>9.74690265486726</x:v>
      </x:c>
      <x:c r="G86" s="19" t="n">
        <x:f>参数与事实!K33</x:f>
        <x:v>6.3</x:v>
      </x:c>
      <x:c r="H86" s="20" t="n">
        <x:f>参数与事实!C33</x:f>
        <x:v>0.65</x:v>
      </x:c>
      <x:c r="I86" s="19" t="n">
        <x:f>参数与事实!E33+参数与事实!$B$9</x:f>
        <x:v>3.5</x:v>
      </x:c>
      <x:c r="J86" s="21" t="n">
        <x:f>参数与事实!F33+参数与事实!N33</x:f>
        <x:v>0.085</x:v>
      </x:c>
      <x:c r="K86" s="21" t="n">
        <x:f>参数与事实!G33</x:f>
        <x:v>0.25</x:v>
      </x:c>
      <x:c r="L86" s="15" t="n">
        <x:f>(F86*(1-J86)-I86)*G86</x:f>
        <x:v>34.13602035398232</x:v>
      </x:c>
      <x:c r="M86" s="15" t="n">
        <x:f>MAX(L86,0)*K86</x:f>
        <x:v>8.53400508849558</x:v>
      </x:c>
      <x:c r="N86" s="22" t="n">
        <x:f>(L86-M86)*H86</x:f>
        <x:v>16.641309922566382</x:v>
      </x:c>
    </x:row>
    <x:row r="87" ht="23" customHeight="1">
      <x:c r="A87" s="2" t="str">
        <x:v>赣锋锂业</x:v>
      </x:c>
      <x:c r="B87" s="2" t="str">
        <x:v>Goulamina一期</x:v>
      </x:c>
      <x:c r="C87" s="2" t="n">
        <x:v>2029</x:v>
      </x:c>
      <x:c r="D87" s="19" t="n">
        <x:f>参数与事实!G$5</x:f>
        <x:v>20</x:v>
      </x:c>
      <x:c r="E87" s="19" t="n">
        <x:f>D87/(1+参数与事实!$B$5)</x:f>
        <x:v>17.69911504424779</x:v>
      </x:c>
      <x:c r="F87" s="19" t="n">
        <x:f>MAX(参数与事实!$B$8,E87*参数与事实!$B$7-参数与事实!$B$10)</x:f>
        <x:v>13.729203539823011</x:v>
      </x:c>
      <x:c r="G87" s="19" t="n">
        <x:f>参数与事实!K33</x:f>
        <x:v>6.3</x:v>
      </x:c>
      <x:c r="H87" s="20" t="n">
        <x:f>参数与事实!C33</x:f>
        <x:v>0.65</x:v>
      </x:c>
      <x:c r="I87" s="19" t="n">
        <x:f>参数与事实!E33+参数与事实!$B$9</x:f>
        <x:v>3.5</x:v>
      </x:c>
      <x:c r="J87" s="21" t="n">
        <x:f>参数与事实!F33+参数与事实!N33</x:f>
        <x:v>0.085</x:v>
      </x:c>
      <x:c r="K87" s="21" t="n">
        <x:f>参数与事实!G33</x:f>
        <x:v>0.25</x:v>
      </x:c>
      <x:c r="L87" s="15" t="n">
        <x:f>(F87*(1-J87)-I87)*G87</x:f>
        <x:v>57.09199380530975</x:v>
      </x:c>
      <x:c r="M87" s="15" t="n">
        <x:f>MAX(L87,0)*K87</x:f>
        <x:v>14.272998451327437</x:v>
      </x:c>
      <x:c r="N87" s="22" t="n">
        <x:f>(L87-M87)*H87</x:f>
        <x:v>27.832346980088502</x:v>
      </x:c>
    </x:row>
    <x:row r="88" ht="23" customHeight="1">
      <x:c r="A88" s="2" t="str">
        <x:v>赣锋锂业</x:v>
      </x:c>
      <x:c r="B88" s="2" t="str">
        <x:v>Goulamina一期</x:v>
      </x:c>
      <x:c r="C88" s="2" t="n">
        <x:v>2029</x:v>
      </x:c>
      <x:c r="D88" s="19" t="n">
        <x:f>参数与事实!H$5</x:f>
        <x:v>30</x:v>
      </x:c>
      <x:c r="E88" s="19" t="n">
        <x:f>D88/(1+参数与事实!$B$5)</x:f>
        <x:v>26.548672566371685</x:v>
      </x:c>
      <x:c r="F88" s="19" t="n">
        <x:f>MAX(参数与事实!$B$8,E88*参数与事实!$B$7-参数与事实!$B$10)</x:f>
        <x:v>21.69380530973452</x:v>
      </x:c>
      <x:c r="G88" s="19" t="n">
        <x:f>参数与事实!K33</x:f>
        <x:v>6.3</x:v>
      </x:c>
      <x:c r="H88" s="20" t="n">
        <x:f>参数与事实!C33</x:f>
        <x:v>0.65</x:v>
      </x:c>
      <x:c r="I88" s="19" t="n">
        <x:f>参数与事实!E33+参数与事实!$B$9</x:f>
        <x:v>3.5</x:v>
      </x:c>
      <x:c r="J88" s="21" t="n">
        <x:f>参数与事实!F33+参数与事实!N33</x:f>
        <x:v>0.085</x:v>
      </x:c>
      <x:c r="K88" s="21" t="n">
        <x:f>参数与事实!G33</x:f>
        <x:v>0.25</x:v>
      </x:c>
      <x:c r="L88" s="15" t="n">
        <x:f>(F88*(1-J88)-I88)*G88</x:f>
        <x:v>103.00394070796463</x:v>
      </x:c>
      <x:c r="M88" s="15" t="n">
        <x:f>MAX(L88,0)*K88</x:f>
        <x:v>25.750985176991158</x:v>
      </x:c>
      <x:c r="N88" s="22" t="n">
        <x:f>(L88-M88)*H88</x:f>
        <x:v>50.214421095132764</x:v>
      </x:c>
    </x:row>
    <x:row r="89" ht="23" customHeight="1">
      <x:c r="A89" s="2" t="str">
        <x:v>赣锋锂业</x:v>
      </x:c>
      <x:c r="B89" s="2" t="str">
        <x:v>Cauchari一期</x:v>
      </x:c>
      <x:c r="C89" s="2" t="n">
        <x:v>2027</x:v>
      </x:c>
      <x:c r="D89" s="19" t="n">
        <x:f>参数与事实!E$5</x:f>
        <x:v>10</x:v>
      </x:c>
      <x:c r="E89" s="19" t="n">
        <x:f>D89/(1+参数与事实!$B$5)</x:f>
        <x:v>8.849557522123895</x:v>
      </x:c>
      <x:c r="F89" s="19" t="n">
        <x:f>E89*参数与事实!H34</x:f>
        <x:v>8.141592920353984</x:v>
      </x:c>
      <x:c r="G89" s="19" t="n">
        <x:f>参数与事实!I34</x:f>
        <x:v>3.9</x:v>
      </x:c>
      <x:c r="H89" s="20" t="n">
        <x:f>参数与事实!C34</x:f>
        <x:v>0.4667</x:v>
      </x:c>
      <x:c r="I89" s="19" t="n">
        <x:f>参数与事实!E34+参数与事实!$B$9</x:f>
        <x:v>5.4</x:v>
      </x:c>
      <x:c r="J89" s="21" t="n">
        <x:f>参数与事实!F34+参数与事实!L34</x:f>
        <x:v>0.06</x:v>
      </x:c>
      <x:c r="K89" s="21" t="n">
        <x:f>参数与事实!G34</x:f>
        <x:v>0.35</x:v>
      </x:c>
      <x:c r="L89" s="15" t="n">
        <x:f>(F89*(1-J89)-I89)*G89</x:f>
        <x:v>8.787079646017702</x:v>
      </x:c>
      <x:c r="M89" s="15" t="n">
        <x:f>MAX(L89,0)*K89</x:f>
        <x:v>3.0754778761061954</x:v>
      </x:c>
      <x:c r="N89" s="22" t="n">
        <x:f>(L89-M89)*H89</x:f>
        <x:v>2.6656045460177005</x:v>
      </x:c>
    </x:row>
    <x:row r="90" ht="23" customHeight="1">
      <x:c r="A90" s="2" t="str">
        <x:v>赣锋锂业</x:v>
      </x:c>
      <x:c r="B90" s="2" t="str">
        <x:v>Cauchari一期</x:v>
      </x:c>
      <x:c r="C90" s="2" t="n">
        <x:v>2027</x:v>
      </x:c>
      <x:c r="D90" s="19" t="n">
        <x:f>参数与事实!F$5</x:f>
        <x:v>15</x:v>
      </x:c>
      <x:c r="E90" s="19" t="n">
        <x:f>D90/(1+参数与事实!$B$5)</x:f>
        <x:v>13.274336283185843</x:v>
      </x:c>
      <x:c r="F90" s="19" t="n">
        <x:f>E90*参数与事实!H34</x:f>
        <x:v>12.212389380530976</x:v>
      </x:c>
      <x:c r="G90" s="19" t="n">
        <x:f>参数与事实!I34</x:f>
        <x:v>3.9</x:v>
      </x:c>
      <x:c r="H90" s="20" t="n">
        <x:f>参数与事实!C34</x:f>
        <x:v>0.4667</x:v>
      </x:c>
      <x:c r="I90" s="19" t="n">
        <x:f>参数与事实!E34+参数与事实!$B$9</x:f>
        <x:v>5.4</x:v>
      </x:c>
      <x:c r="J90" s="21" t="n">
        <x:f>参数与事实!F34+参数与事实!L34</x:f>
        <x:v>0.06</x:v>
      </x:c>
      <x:c r="K90" s="21" t="n">
        <x:f>参数与事实!G34</x:f>
        <x:v>0.35</x:v>
      </x:c>
      <x:c r="L90" s="15" t="n">
        <x:f>(F90*(1-J90)-I90)*G90</x:f>
        <x:v>23.71061946902655</x:v>
      </x:c>
      <x:c r="M90" s="15" t="n">
        <x:f>MAX(L90,0)*K90</x:f>
        <x:v>8.298716814159292</x:v>
      </x:c>
      <x:c r="N90" s="22" t="n">
        <x:f>(L90-M90)*H90</x:f>
        <x:v>7.192734969026549</x:v>
      </x:c>
    </x:row>
    <x:row r="91" ht="23" customHeight="1">
      <x:c r="A91" s="2" t="str">
        <x:v>赣锋锂业</x:v>
      </x:c>
      <x:c r="B91" s="2" t="str">
        <x:v>Cauchari一期</x:v>
      </x:c>
      <x:c r="C91" s="2" t="n">
        <x:v>2027</x:v>
      </x:c>
      <x:c r="D91" s="19" t="n">
        <x:f>参数与事实!G$5</x:f>
        <x:v>20</x:v>
      </x:c>
      <x:c r="E91" s="19" t="n">
        <x:f>D91/(1+参数与事实!$B$5)</x:f>
        <x:v>17.69911504424779</x:v>
      </x:c>
      <x:c r="F91" s="19" t="n">
        <x:f>E91*参数与事实!H34</x:f>
        <x:v>16.28318584070797</x:v>
      </x:c>
      <x:c r="G91" s="19" t="n">
        <x:f>参数与事实!I34</x:f>
        <x:v>3.9</x:v>
      </x:c>
      <x:c r="H91" s="20" t="n">
        <x:f>参数与事实!C34</x:f>
        <x:v>0.4667</x:v>
      </x:c>
      <x:c r="I91" s="19" t="n">
        <x:f>参数与事实!E34+参数与事实!$B$9</x:f>
        <x:v>5.4</x:v>
      </x:c>
      <x:c r="J91" s="21" t="n">
        <x:f>参数与事实!F34+参数与事实!L34</x:f>
        <x:v>0.06</x:v>
      </x:c>
      <x:c r="K91" s="21" t="n">
        <x:f>参数与事实!G34</x:f>
        <x:v>0.35</x:v>
      </x:c>
      <x:c r="L91" s="15" t="n">
        <x:f>(F91*(1-J91)-I91)*G91</x:f>
        <x:v>38.634159292035406</x:v>
      </x:c>
      <x:c r="M91" s="15" t="n">
        <x:f>MAX(L91,0)*K91</x:f>
        <x:v>13.521955752212392</x:v>
      </x:c>
      <x:c r="N91" s="22" t="n">
        <x:f>(L91-M91)*H91</x:f>
        <x:v>11.7198653920354</x:v>
      </x:c>
    </x:row>
    <x:row r="92" ht="23" customHeight="1">
      <x:c r="A92" s="2" t="str">
        <x:v>赣锋锂业</x:v>
      </x:c>
      <x:c r="B92" s="2" t="str">
        <x:v>Cauchari一期</x:v>
      </x:c>
      <x:c r="C92" s="2" t="n">
        <x:v>2027</x:v>
      </x:c>
      <x:c r="D92" s="19" t="n">
        <x:f>参数与事实!H$5</x:f>
        <x:v>30</x:v>
      </x:c>
      <x:c r="E92" s="19" t="n">
        <x:f>D92/(1+参数与事实!$B$5)</x:f>
        <x:v>26.548672566371685</x:v>
      </x:c>
      <x:c r="F92" s="19" t="n">
        <x:f>E92*参数与事实!H34</x:f>
        <x:v>24.42477876106195</x:v>
      </x:c>
      <x:c r="G92" s="19" t="n">
        <x:f>参数与事实!I34</x:f>
        <x:v>3.9</x:v>
      </x:c>
      <x:c r="H92" s="20" t="n">
        <x:f>参数与事实!C34</x:f>
        <x:v>0.4667</x:v>
      </x:c>
      <x:c r="I92" s="19" t="n">
        <x:f>参数与事实!E34+参数与事实!$B$9</x:f>
        <x:v>5.4</x:v>
      </x:c>
      <x:c r="J92" s="21" t="n">
        <x:f>参数与事实!F34+参数与事实!L34</x:f>
        <x:v>0.06</x:v>
      </x:c>
      <x:c r="K92" s="21" t="n">
        <x:f>参数与事实!G34</x:f>
        <x:v>0.35</x:v>
      </x:c>
      <x:c r="L92" s="15" t="n">
        <x:f>(F92*(1-J92)-I92)*G92</x:f>
        <x:v>68.4812389380531</x:v>
      </x:c>
      <x:c r="M92" s="15" t="n">
        <x:f>MAX(L92,0)*K92</x:f>
        <x:v>23.968433628318582</x:v>
      </x:c>
      <x:c r="N92" s="22" t="n">
        <x:f>(L92-M92)*H92</x:f>
        <x:v>20.7741262380531</x:v>
      </x:c>
    </x:row>
    <x:row r="93" ht="23" customHeight="1">
      <x:c r="A93" s="2" t="str">
        <x:v>赣锋锂业</x:v>
      </x:c>
      <x:c r="B93" s="2" t="str">
        <x:v>Cauchari一期</x:v>
      </x:c>
      <x:c r="C93" s="2" t="n">
        <x:v>2028</x:v>
      </x:c>
      <x:c r="D93" s="19" t="n">
        <x:f>参数与事实!E$5</x:f>
        <x:v>10</x:v>
      </x:c>
      <x:c r="E93" s="19" t="n">
        <x:f>D93/(1+参数与事实!$B$5)</x:f>
        <x:v>8.849557522123895</x:v>
      </x:c>
      <x:c r="F93" s="19" t="n">
        <x:f>E93*参数与事实!H34</x:f>
        <x:v>8.141592920353984</x:v>
      </x:c>
      <x:c r="G93" s="19" t="n">
        <x:f>参数与事实!J34</x:f>
        <x:v>4</x:v>
      </x:c>
      <x:c r="H93" s="20" t="n">
        <x:f>参数与事实!C34</x:f>
        <x:v>0.4667</x:v>
      </x:c>
      <x:c r="I93" s="19" t="n">
        <x:f>参数与事实!E34+参数与事实!$B$9</x:f>
        <x:v>5.4</x:v>
      </x:c>
      <x:c r="J93" s="21" t="n">
        <x:f>参数与事实!F34+参数与事实!M34</x:f>
        <x:v>0.06</x:v>
      </x:c>
      <x:c r="K93" s="21" t="n">
        <x:f>参数与事实!G34</x:f>
        <x:v>0.35</x:v>
      </x:c>
      <x:c r="L93" s="15" t="n">
        <x:f>(F93*(1-J93)-I93)*G93</x:f>
        <x:v>9.012389380530976</x:v>
      </x:c>
      <x:c r="M93" s="15" t="n">
        <x:f>MAX(L93,0)*K93</x:f>
        <x:v>3.1543362831858417</x:v>
      </x:c>
      <x:c r="N93" s="22" t="n">
        <x:f>(L93-M93)*H93</x:f>
        <x:v>2.7339533805309744</x:v>
      </x:c>
    </x:row>
    <x:row r="94" ht="23" customHeight="1">
      <x:c r="A94" s="2" t="str">
        <x:v>赣锋锂业</x:v>
      </x:c>
      <x:c r="B94" s="2" t="str">
        <x:v>Cauchari一期</x:v>
      </x:c>
      <x:c r="C94" s="2" t="n">
        <x:v>2028</x:v>
      </x:c>
      <x:c r="D94" s="19" t="n">
        <x:f>参数与事实!F$5</x:f>
        <x:v>15</x:v>
      </x:c>
      <x:c r="E94" s="19" t="n">
        <x:f>D94/(1+参数与事实!$B$5)</x:f>
        <x:v>13.274336283185843</x:v>
      </x:c>
      <x:c r="F94" s="19" t="n">
        <x:f>E94*参数与事实!H34</x:f>
        <x:v>12.212389380530976</x:v>
      </x:c>
      <x:c r="G94" s="19" t="n">
        <x:f>参数与事实!J34</x:f>
        <x:v>4</x:v>
      </x:c>
      <x:c r="H94" s="20" t="n">
        <x:f>参数与事实!C34</x:f>
        <x:v>0.4667</x:v>
      </x:c>
      <x:c r="I94" s="19" t="n">
        <x:f>参数与事实!E34+参数与事实!$B$9</x:f>
        <x:v>5.4</x:v>
      </x:c>
      <x:c r="J94" s="21" t="n">
        <x:f>参数与事实!F34+参数与事实!M34</x:f>
        <x:v>0.06</x:v>
      </x:c>
      <x:c r="K94" s="21" t="n">
        <x:f>参数与事实!G34</x:f>
        <x:v>0.35</x:v>
      </x:c>
      <x:c r="L94" s="15" t="n">
        <x:f>(F94*(1-J94)-I94)*G94</x:f>
        <x:v>24.31858407079646</x:v>
      </x:c>
      <x:c r="M94" s="15" t="n">
        <x:f>MAX(L94,0)*K94</x:f>
        <x:v>8.51150442477876</x:v>
      </x:c>
      <x:c r="N94" s="22" t="n">
        <x:f>(L94-M94)*H94</x:f>
        <x:v>7.377164070796462</x:v>
      </x:c>
    </x:row>
    <x:row r="95" ht="23" customHeight="1">
      <x:c r="A95" s="2" t="str">
        <x:v>赣锋锂业</x:v>
      </x:c>
      <x:c r="B95" s="2" t="str">
        <x:v>Cauchari一期</x:v>
      </x:c>
      <x:c r="C95" s="2" t="n">
        <x:v>2028</x:v>
      </x:c>
      <x:c r="D95" s="19" t="n">
        <x:f>参数与事实!G$5</x:f>
        <x:v>20</x:v>
      </x:c>
      <x:c r="E95" s="19" t="n">
        <x:f>D95/(1+参数与事实!$B$5)</x:f>
        <x:v>17.69911504424779</x:v>
      </x:c>
      <x:c r="F95" s="19" t="n">
        <x:f>E95*参数与事实!H34</x:f>
        <x:v>16.28318584070797</x:v>
      </x:c>
      <x:c r="G95" s="19" t="n">
        <x:f>参数与事实!J34</x:f>
        <x:v>4</x:v>
      </x:c>
      <x:c r="H95" s="20" t="n">
        <x:f>参数与事实!C34</x:f>
        <x:v>0.4667</x:v>
      </x:c>
      <x:c r="I95" s="19" t="n">
        <x:f>参数与事实!E34+参数与事实!$B$9</x:f>
        <x:v>5.4</x:v>
      </x:c>
      <x:c r="J95" s="21" t="n">
        <x:f>参数与事实!F34+参数与事实!M34</x:f>
        <x:v>0.06</x:v>
      </x:c>
      <x:c r="K95" s="21" t="n">
        <x:f>参数与事实!G34</x:f>
        <x:v>0.35</x:v>
      </x:c>
      <x:c r="L95" s="15" t="n">
        <x:f>(F95*(1-J95)-I95)*G95</x:f>
        <x:v>39.624778761061954</x:v>
      </x:c>
      <x:c r="M95" s="15" t="n">
        <x:f>MAX(L95,0)*K95</x:f>
        <x:v>13.868672566371684</x:v>
      </x:c>
      <x:c r="N95" s="22" t="n">
        <x:f>(L95-M95)*H95</x:f>
        <x:v>12.020374761061948</x:v>
      </x:c>
    </x:row>
    <x:row r="96" ht="23" customHeight="1">
      <x:c r="A96" s="2" t="str">
        <x:v>赣锋锂业</x:v>
      </x:c>
      <x:c r="B96" s="2" t="str">
        <x:v>Cauchari一期</x:v>
      </x:c>
      <x:c r="C96" s="2" t="n">
        <x:v>2028</x:v>
      </x:c>
      <x:c r="D96" s="19" t="n">
        <x:f>参数与事实!H$5</x:f>
        <x:v>30</x:v>
      </x:c>
      <x:c r="E96" s="19" t="n">
        <x:f>D96/(1+参数与事实!$B$5)</x:f>
        <x:v>26.548672566371685</x:v>
      </x:c>
      <x:c r="F96" s="19" t="n">
        <x:f>E96*参数与事实!H34</x:f>
        <x:v>24.42477876106195</x:v>
      </x:c>
      <x:c r="G96" s="19" t="n">
        <x:f>参数与事实!J34</x:f>
        <x:v>4</x:v>
      </x:c>
      <x:c r="H96" s="20" t="n">
        <x:f>参数与事实!C34</x:f>
        <x:v>0.4667</x:v>
      </x:c>
      <x:c r="I96" s="19" t="n">
        <x:f>参数与事实!E34+参数与事实!$B$9</x:f>
        <x:v>5.4</x:v>
      </x:c>
      <x:c r="J96" s="21" t="n">
        <x:f>参数与事实!F34+参数与事实!M34</x:f>
        <x:v>0.06</x:v>
      </x:c>
      <x:c r="K96" s="21" t="n">
        <x:f>参数与事实!G34</x:f>
        <x:v>0.35</x:v>
      </x:c>
      <x:c r="L96" s="15" t="n">
        <x:f>(F96*(1-J96)-I96)*G96</x:f>
        <x:v>70.23716814159292</x:v>
      </x:c>
      <x:c r="M96" s="15" t="n">
        <x:f>MAX(L96,0)*K96</x:f>
        <x:v>24.58300884955752</x:v>
      </x:c>
      <x:c r="N96" s="22" t="n">
        <x:f>(L96-M96)*H96</x:f>
        <x:v>21.306796141592923</x:v>
      </x:c>
    </x:row>
    <x:row r="97" ht="23" customHeight="1">
      <x:c r="A97" s="2" t="str">
        <x:v>赣锋锂业</x:v>
      </x:c>
      <x:c r="B97" s="2" t="str">
        <x:v>Cauchari一期</x:v>
      </x:c>
      <x:c r="C97" s="2" t="n">
        <x:v>2029</x:v>
      </x:c>
      <x:c r="D97" s="19" t="n">
        <x:f>参数与事实!E$5</x:f>
        <x:v>10</x:v>
      </x:c>
      <x:c r="E97" s="19" t="n">
        <x:f>D97/(1+参数与事实!$B$5)</x:f>
        <x:v>8.849557522123895</x:v>
      </x:c>
      <x:c r="F97" s="19" t="n">
        <x:f>E97*参数与事实!H34</x:f>
        <x:v>8.141592920353984</x:v>
      </x:c>
      <x:c r="G97" s="19" t="n">
        <x:f>参数与事实!K34</x:f>
        <x:v>4</x:v>
      </x:c>
      <x:c r="H97" s="20" t="n">
        <x:f>参数与事实!C34</x:f>
        <x:v>0.4667</x:v>
      </x:c>
      <x:c r="I97" s="19" t="n">
        <x:f>参数与事实!E34+参数与事实!$B$9</x:f>
        <x:v>5.4</x:v>
      </x:c>
      <x:c r="J97" s="21" t="n">
        <x:f>参数与事实!F34+参数与事实!N34</x:f>
        <x:v>0.06</x:v>
      </x:c>
      <x:c r="K97" s="21" t="n">
        <x:f>参数与事实!G34</x:f>
        <x:v>0.35</x:v>
      </x:c>
      <x:c r="L97" s="15" t="n">
        <x:f>(F97*(1-J97)-I97)*G97</x:f>
        <x:v>9.012389380530976</x:v>
      </x:c>
      <x:c r="M97" s="15" t="n">
        <x:f>MAX(L97,0)*K97</x:f>
        <x:v>3.1543362831858417</x:v>
      </x:c>
      <x:c r="N97" s="22" t="n">
        <x:f>(L97-M97)*H97</x:f>
        <x:v>2.7339533805309744</x:v>
      </x:c>
    </x:row>
    <x:row r="98" ht="23" customHeight="1">
      <x:c r="A98" s="2" t="str">
        <x:v>赣锋锂业</x:v>
      </x:c>
      <x:c r="B98" s="2" t="str">
        <x:v>Cauchari一期</x:v>
      </x:c>
      <x:c r="C98" s="2" t="n">
        <x:v>2029</x:v>
      </x:c>
      <x:c r="D98" s="19" t="n">
        <x:f>参数与事实!F$5</x:f>
        <x:v>15</x:v>
      </x:c>
      <x:c r="E98" s="19" t="n">
        <x:f>D98/(1+参数与事实!$B$5)</x:f>
        <x:v>13.274336283185843</x:v>
      </x:c>
      <x:c r="F98" s="19" t="n">
        <x:f>E98*参数与事实!H34</x:f>
        <x:v>12.212389380530976</x:v>
      </x:c>
      <x:c r="G98" s="19" t="n">
        <x:f>参数与事实!K34</x:f>
        <x:v>4</x:v>
      </x:c>
      <x:c r="H98" s="20" t="n">
        <x:f>参数与事实!C34</x:f>
        <x:v>0.4667</x:v>
      </x:c>
      <x:c r="I98" s="19" t="n">
        <x:f>参数与事实!E34+参数与事实!$B$9</x:f>
        <x:v>5.4</x:v>
      </x:c>
      <x:c r="J98" s="21" t="n">
        <x:f>参数与事实!F34+参数与事实!N34</x:f>
        <x:v>0.06</x:v>
      </x:c>
      <x:c r="K98" s="21" t="n">
        <x:f>参数与事实!G34</x:f>
        <x:v>0.35</x:v>
      </x:c>
      <x:c r="L98" s="15" t="n">
        <x:f>(F98*(1-J98)-I98)*G98</x:f>
        <x:v>24.31858407079646</x:v>
      </x:c>
      <x:c r="M98" s="15" t="n">
        <x:f>MAX(L98,0)*K98</x:f>
        <x:v>8.51150442477876</x:v>
      </x:c>
      <x:c r="N98" s="22" t="n">
        <x:f>(L98-M98)*H98</x:f>
        <x:v>7.377164070796462</x:v>
      </x:c>
    </x:row>
    <x:row r="99" ht="23" customHeight="1">
      <x:c r="A99" s="2" t="str">
        <x:v>赣锋锂业</x:v>
      </x:c>
      <x:c r="B99" s="2" t="str">
        <x:v>Cauchari一期</x:v>
      </x:c>
      <x:c r="C99" s="2" t="n">
        <x:v>2029</x:v>
      </x:c>
      <x:c r="D99" s="19" t="n">
        <x:f>参数与事实!G$5</x:f>
        <x:v>20</x:v>
      </x:c>
      <x:c r="E99" s="19" t="n">
        <x:f>D99/(1+参数与事实!$B$5)</x:f>
        <x:v>17.69911504424779</x:v>
      </x:c>
      <x:c r="F99" s="19" t="n">
        <x:f>E99*参数与事实!H34</x:f>
        <x:v>16.28318584070797</x:v>
      </x:c>
      <x:c r="G99" s="19" t="n">
        <x:f>参数与事实!K34</x:f>
        <x:v>4</x:v>
      </x:c>
      <x:c r="H99" s="20" t="n">
        <x:f>参数与事实!C34</x:f>
        <x:v>0.4667</x:v>
      </x:c>
      <x:c r="I99" s="19" t="n">
        <x:f>参数与事实!E34+参数与事实!$B$9</x:f>
        <x:v>5.4</x:v>
      </x:c>
      <x:c r="J99" s="21" t="n">
        <x:f>参数与事实!F34+参数与事实!N34</x:f>
        <x:v>0.06</x:v>
      </x:c>
      <x:c r="K99" s="21" t="n">
        <x:f>参数与事实!G34</x:f>
        <x:v>0.35</x:v>
      </x:c>
      <x:c r="L99" s="15" t="n">
        <x:f>(F99*(1-J99)-I99)*G99</x:f>
        <x:v>39.624778761061954</x:v>
      </x:c>
      <x:c r="M99" s="15" t="n">
        <x:f>MAX(L99,0)*K99</x:f>
        <x:v>13.868672566371684</x:v>
      </x:c>
      <x:c r="N99" s="22" t="n">
        <x:f>(L99-M99)*H99</x:f>
        <x:v>12.020374761061948</x:v>
      </x:c>
    </x:row>
    <x:row r="100" ht="23" customHeight="1">
      <x:c r="A100" s="2" t="str">
        <x:v>赣锋锂业</x:v>
      </x:c>
      <x:c r="B100" s="2" t="str">
        <x:v>Cauchari一期</x:v>
      </x:c>
      <x:c r="C100" s="2" t="n">
        <x:v>2029</x:v>
      </x:c>
      <x:c r="D100" s="19" t="n">
        <x:f>参数与事实!H$5</x:f>
        <x:v>30</x:v>
      </x:c>
      <x:c r="E100" s="19" t="n">
        <x:f>D100/(1+参数与事实!$B$5)</x:f>
        <x:v>26.548672566371685</x:v>
      </x:c>
      <x:c r="F100" s="19" t="n">
        <x:f>E100*参数与事实!H34</x:f>
        <x:v>24.42477876106195</x:v>
      </x:c>
      <x:c r="G100" s="19" t="n">
        <x:f>参数与事实!K34</x:f>
        <x:v>4</x:v>
      </x:c>
      <x:c r="H100" s="20" t="n">
        <x:f>参数与事实!C34</x:f>
        <x:v>0.4667</x:v>
      </x:c>
      <x:c r="I100" s="19" t="n">
        <x:f>参数与事实!E34+参数与事实!$B$9</x:f>
        <x:v>5.4</x:v>
      </x:c>
      <x:c r="J100" s="21" t="n">
        <x:f>参数与事实!F34+参数与事实!N34</x:f>
        <x:v>0.06</x:v>
      </x:c>
      <x:c r="K100" s="21" t="n">
        <x:f>参数与事实!G34</x:f>
        <x:v>0.35</x:v>
      </x:c>
      <x:c r="L100" s="15" t="n">
        <x:f>(F100*(1-J100)-I100)*G100</x:f>
        <x:v>70.23716814159292</x:v>
      </x:c>
      <x:c r="M100" s="15" t="n">
        <x:f>MAX(L100,0)*K100</x:f>
        <x:v>24.58300884955752</x:v>
      </x:c>
      <x:c r="N100" s="22" t="n">
        <x:f>(L100-M100)*H100</x:f>
        <x:v>21.306796141592923</x:v>
      </x:c>
    </x:row>
    <x:row r="101" ht="23" customHeight="1">
      <x:c r="A101" s="2" t="str">
        <x:v>赣锋锂业</x:v>
      </x:c>
      <x:c r="B101" s="2" t="str">
        <x:v>Cauchari二期首模块</x:v>
      </x:c>
      <x:c r="C101" s="2" t="n">
        <x:v>2027</x:v>
      </x:c>
      <x:c r="D101" s="19" t="n">
        <x:f>参数与事实!E$5</x:f>
        <x:v>10</x:v>
      </x:c>
      <x:c r="E101" s="19" t="n">
        <x:f>D101/(1+参数与事实!$B$5)</x:f>
        <x:v>8.849557522123895</x:v>
      </x:c>
      <x:c r="F101" s="19" t="n">
        <x:f>E101*参数与事实!H35</x:f>
        <x:v>8.4070796460177</x:v>
      </x:c>
      <x:c r="G101" s="19" t="n">
        <x:f>参数与事实!I35</x:f>
        <x:v>0</x:v>
      </x:c>
      <x:c r="H101" s="20" t="n">
        <x:f>参数与事实!C35</x:f>
        <x:v>0.4667</x:v>
      </x:c>
      <x:c r="I101" s="19" t="n">
        <x:f>参数与事实!E35+参数与事实!$B$9</x:f>
        <x:v>5</x:v>
      </x:c>
      <x:c r="J101" s="21" t="n">
        <x:f>参数与事实!F35+参数与事实!L35</x:f>
        <x:v>0.06</x:v>
      </x:c>
      <x:c r="K101" s="21" t="n">
        <x:f>参数与事实!G35</x:f>
        <x:v>0.25</x:v>
      </x:c>
      <x:c r="L101" s="15" t="n">
        <x:f>(F101*(1-J101)-I101)*G101</x:f>
        <x:v>0</x:v>
      </x:c>
      <x:c r="M101" s="15" t="n">
        <x:f>MAX(L101,0)*K101</x:f>
        <x:v>0</x:v>
      </x:c>
      <x:c r="N101" s="22" t="n">
        <x:f>(L101-M101)*H101</x:f>
        <x:v>0</x:v>
      </x:c>
    </x:row>
    <x:row r="102" ht="23" customHeight="1">
      <x:c r="A102" s="2" t="str">
        <x:v>赣锋锂业</x:v>
      </x:c>
      <x:c r="B102" s="2" t="str">
        <x:v>Cauchari二期首模块</x:v>
      </x:c>
      <x:c r="C102" s="2" t="n">
        <x:v>2027</x:v>
      </x:c>
      <x:c r="D102" s="19" t="n">
        <x:f>参数与事实!F$5</x:f>
        <x:v>15</x:v>
      </x:c>
      <x:c r="E102" s="19" t="n">
        <x:f>D102/(1+参数与事实!$B$5)</x:f>
        <x:v>13.274336283185843</x:v>
      </x:c>
      <x:c r="F102" s="19" t="n">
        <x:f>E102*参数与事实!H35</x:f>
        <x:v>12.61061946902655</x:v>
      </x:c>
      <x:c r="G102" s="19" t="n">
        <x:f>参数与事实!I35</x:f>
        <x:v>0</x:v>
      </x:c>
      <x:c r="H102" s="20" t="n">
        <x:f>参数与事实!C35</x:f>
        <x:v>0.4667</x:v>
      </x:c>
      <x:c r="I102" s="19" t="n">
        <x:f>参数与事实!E35+参数与事实!$B$9</x:f>
        <x:v>5</x:v>
      </x:c>
      <x:c r="J102" s="21" t="n">
        <x:f>参数与事实!F35+参数与事实!L35</x:f>
        <x:v>0.06</x:v>
      </x:c>
      <x:c r="K102" s="21" t="n">
        <x:f>参数与事实!G35</x:f>
        <x:v>0.25</x:v>
      </x:c>
      <x:c r="L102" s="15" t="n">
        <x:f>(F102*(1-J102)-I102)*G102</x:f>
        <x:v>0</x:v>
      </x:c>
      <x:c r="M102" s="15" t="n">
        <x:f>MAX(L102,0)*K102</x:f>
        <x:v>0</x:v>
      </x:c>
      <x:c r="N102" s="22" t="n">
        <x:f>(L102-M102)*H102</x:f>
        <x:v>0</x:v>
      </x:c>
    </x:row>
    <x:row r="103" ht="23" customHeight="1">
      <x:c r="A103" s="2" t="str">
        <x:v>赣锋锂业</x:v>
      </x:c>
      <x:c r="B103" s="2" t="str">
        <x:v>Cauchari二期首模块</x:v>
      </x:c>
      <x:c r="C103" s="2" t="n">
        <x:v>2027</x:v>
      </x:c>
      <x:c r="D103" s="19" t="n">
        <x:f>参数与事实!G$5</x:f>
        <x:v>20</x:v>
      </x:c>
      <x:c r="E103" s="19" t="n">
        <x:f>D103/(1+参数与事实!$B$5)</x:f>
        <x:v>17.69911504424779</x:v>
      </x:c>
      <x:c r="F103" s="19" t="n">
        <x:f>E103*参数与事实!H35</x:f>
        <x:v>16.8141592920354</x:v>
      </x:c>
      <x:c r="G103" s="19" t="n">
        <x:f>参数与事实!I35</x:f>
        <x:v>0</x:v>
      </x:c>
      <x:c r="H103" s="20" t="n">
        <x:f>参数与事实!C35</x:f>
        <x:v>0.4667</x:v>
      </x:c>
      <x:c r="I103" s="19" t="n">
        <x:f>参数与事实!E35+参数与事实!$B$9</x:f>
        <x:v>5</x:v>
      </x:c>
      <x:c r="J103" s="21" t="n">
        <x:f>参数与事实!F35+参数与事实!L35</x:f>
        <x:v>0.06</x:v>
      </x:c>
      <x:c r="K103" s="21" t="n">
        <x:f>参数与事实!G35</x:f>
        <x:v>0.25</x:v>
      </x:c>
      <x:c r="L103" s="15" t="n">
        <x:f>(F103*(1-J103)-I103)*G103</x:f>
        <x:v>0</x:v>
      </x:c>
      <x:c r="M103" s="15" t="n">
        <x:f>MAX(L103,0)*K103</x:f>
        <x:v>0</x:v>
      </x:c>
      <x:c r="N103" s="22" t="n">
        <x:f>(L103-M103)*H103</x:f>
        <x:v>0</x:v>
      </x:c>
    </x:row>
    <x:row r="104" ht="23" customHeight="1">
      <x:c r="A104" s="2" t="str">
        <x:v>赣锋锂业</x:v>
      </x:c>
      <x:c r="B104" s="2" t="str">
        <x:v>Cauchari二期首模块</x:v>
      </x:c>
      <x:c r="C104" s="2" t="n">
        <x:v>2027</x:v>
      </x:c>
      <x:c r="D104" s="19" t="n">
        <x:f>参数与事实!H$5</x:f>
        <x:v>30</x:v>
      </x:c>
      <x:c r="E104" s="19" t="n">
        <x:f>D104/(1+参数与事实!$B$5)</x:f>
        <x:v>26.548672566371685</x:v>
      </x:c>
      <x:c r="F104" s="19" t="n">
        <x:f>E104*参数与事实!H35</x:f>
        <x:v>25.2212389380531</x:v>
      </x:c>
      <x:c r="G104" s="19" t="n">
        <x:f>参数与事实!I35</x:f>
        <x:v>0</x:v>
      </x:c>
      <x:c r="H104" s="20" t="n">
        <x:f>参数与事实!C35</x:f>
        <x:v>0.4667</x:v>
      </x:c>
      <x:c r="I104" s="19" t="n">
        <x:f>参数与事实!E35+参数与事实!$B$9</x:f>
        <x:v>5</x:v>
      </x:c>
      <x:c r="J104" s="21" t="n">
        <x:f>参数与事实!F35+参数与事实!L35</x:f>
        <x:v>0.06</x:v>
      </x:c>
      <x:c r="K104" s="21" t="n">
        <x:f>参数与事实!G35</x:f>
        <x:v>0.25</x:v>
      </x:c>
      <x:c r="L104" s="15" t="n">
        <x:f>(F104*(1-J104)-I104)*G104</x:f>
        <x:v>0</x:v>
      </x:c>
      <x:c r="M104" s="15" t="n">
        <x:f>MAX(L104,0)*K104</x:f>
        <x:v>0</x:v>
      </x:c>
      <x:c r="N104" s="22" t="n">
        <x:f>(L104-M104)*H104</x:f>
        <x:v>0</x:v>
      </x:c>
    </x:row>
    <x:row r="105" ht="23" customHeight="1">
      <x:c r="A105" s="2" t="str">
        <x:v>赣锋锂业</x:v>
      </x:c>
      <x:c r="B105" s="2" t="str">
        <x:v>Cauchari二期首模块</x:v>
      </x:c>
      <x:c r="C105" s="2" t="n">
        <x:v>2028</x:v>
      </x:c>
      <x:c r="D105" s="19" t="n">
        <x:f>参数与事实!E$5</x:f>
        <x:v>10</x:v>
      </x:c>
      <x:c r="E105" s="19" t="n">
        <x:f>D105/(1+参数与事实!$B$5)</x:f>
        <x:v>8.849557522123895</x:v>
      </x:c>
      <x:c r="F105" s="19" t="n">
        <x:f>E105*参数与事实!H35</x:f>
        <x:v>8.4070796460177</x:v>
      </x:c>
      <x:c r="G105" s="19" t="n">
        <x:f>参数与事实!J35</x:f>
        <x:v>0.3</x:v>
      </x:c>
      <x:c r="H105" s="20" t="n">
        <x:f>参数与事实!C35</x:f>
        <x:v>0.4667</x:v>
      </x:c>
      <x:c r="I105" s="19" t="n">
        <x:f>参数与事实!E35+参数与事实!$B$9</x:f>
        <x:v>5</x:v>
      </x:c>
      <x:c r="J105" s="21" t="n">
        <x:f>参数与事实!F35+参数与事实!M35</x:f>
        <x:v>0.06</x:v>
      </x:c>
      <x:c r="K105" s="21" t="n">
        <x:f>参数与事实!G35</x:f>
        <x:v>0.25</x:v>
      </x:c>
      <x:c r="L105" s="15" t="n">
        <x:f>(F105*(1-J105)-I105)*G105</x:f>
        <x:v>0.8707964601769912</x:v>
      </x:c>
      <x:c r="M105" s="15" t="n">
        <x:f>MAX(L105,0)*K105</x:f>
        <x:v>0.2176991150442478</x:v>
      </x:c>
      <x:c r="N105" s="22" t="n">
        <x:f>(L105-M105)*H105</x:f>
        <x:v>0.30480053097345133</x:v>
      </x:c>
    </x:row>
    <x:row r="106" ht="23" customHeight="1">
      <x:c r="A106" s="2" t="str">
        <x:v>赣锋锂业</x:v>
      </x:c>
      <x:c r="B106" s="2" t="str">
        <x:v>Cauchari二期首模块</x:v>
      </x:c>
      <x:c r="C106" s="2" t="n">
        <x:v>2028</x:v>
      </x:c>
      <x:c r="D106" s="19" t="n">
        <x:f>参数与事实!F$5</x:f>
        <x:v>15</x:v>
      </x:c>
      <x:c r="E106" s="19" t="n">
        <x:f>D106/(1+参数与事实!$B$5)</x:f>
        <x:v>13.274336283185843</x:v>
      </x:c>
      <x:c r="F106" s="19" t="n">
        <x:f>E106*参数与事实!H35</x:f>
        <x:v>12.61061946902655</x:v>
      </x:c>
      <x:c r="G106" s="19" t="n">
        <x:f>参数与事实!J35</x:f>
        <x:v>0.3</x:v>
      </x:c>
      <x:c r="H106" s="20" t="n">
        <x:f>参数与事实!C35</x:f>
        <x:v>0.4667</x:v>
      </x:c>
      <x:c r="I106" s="19" t="n">
        <x:f>参数与事实!E35+参数与事实!$B$9</x:f>
        <x:v>5</x:v>
      </x:c>
      <x:c r="J106" s="21" t="n">
        <x:f>参数与事实!F35+参数与事实!M35</x:f>
        <x:v>0.06</x:v>
      </x:c>
      <x:c r="K106" s="21" t="n">
        <x:f>参数与事实!G35</x:f>
        <x:v>0.25</x:v>
      </x:c>
      <x:c r="L106" s="15" t="n">
        <x:f>(F106*(1-J106)-I106)*G106</x:f>
        <x:v>2.0561946902654866</x:v>
      </x:c>
      <x:c r="M106" s="15" t="n">
        <x:f>MAX(L106,0)*K106</x:f>
        <x:v>0.5140486725663717</x:v>
      </x:c>
      <x:c r="N106" s="22" t="n">
        <x:f>(L106-M106)*H106</x:f>
        <x:v>0.7197195464601769</x:v>
      </x:c>
    </x:row>
    <x:row r="107" ht="23" customHeight="1">
      <x:c r="A107" s="2" t="str">
        <x:v>赣锋锂业</x:v>
      </x:c>
      <x:c r="B107" s="2" t="str">
        <x:v>Cauchari二期首模块</x:v>
      </x:c>
      <x:c r="C107" s="2" t="n">
        <x:v>2028</x:v>
      </x:c>
      <x:c r="D107" s="19" t="n">
        <x:f>参数与事实!G$5</x:f>
        <x:v>20</x:v>
      </x:c>
      <x:c r="E107" s="19" t="n">
        <x:f>D107/(1+参数与事实!$B$5)</x:f>
        <x:v>17.69911504424779</x:v>
      </x:c>
      <x:c r="F107" s="19" t="n">
        <x:f>E107*参数与事实!H35</x:f>
        <x:v>16.8141592920354</x:v>
      </x:c>
      <x:c r="G107" s="19" t="n">
        <x:f>参数与事实!J35</x:f>
        <x:v>0.3</x:v>
      </x:c>
      <x:c r="H107" s="20" t="n">
        <x:f>参数与事实!C35</x:f>
        <x:v>0.4667</x:v>
      </x:c>
      <x:c r="I107" s="19" t="n">
        <x:f>参数与事实!E35+参数与事实!$B$9</x:f>
        <x:v>5</x:v>
      </x:c>
      <x:c r="J107" s="21" t="n">
        <x:f>参数与事实!F35+参数与事实!M35</x:f>
        <x:v>0.06</x:v>
      </x:c>
      <x:c r="K107" s="21" t="n">
        <x:f>参数与事实!G35</x:f>
        <x:v>0.25</x:v>
      </x:c>
      <x:c r="L107" s="15" t="n">
        <x:f>(F107*(1-J107)-I107)*G107</x:f>
        <x:v>3.241592920353982</x:v>
      </x:c>
      <x:c r="M107" s="15" t="n">
        <x:f>MAX(L107,0)*K107</x:f>
        <x:v>0.8103982300884955</x:v>
      </x:c>
      <x:c r="N107" s="22" t="n">
        <x:f>(L107-M107)*H107</x:f>
        <x:v>1.1346385619469026</x:v>
      </x:c>
    </x:row>
    <x:row r="108" ht="23" customHeight="1">
      <x:c r="A108" s="2" t="str">
        <x:v>赣锋锂业</x:v>
      </x:c>
      <x:c r="B108" s="2" t="str">
        <x:v>Cauchari二期首模块</x:v>
      </x:c>
      <x:c r="C108" s="2" t="n">
        <x:v>2028</x:v>
      </x:c>
      <x:c r="D108" s="19" t="n">
        <x:f>参数与事实!H$5</x:f>
        <x:v>30</x:v>
      </x:c>
      <x:c r="E108" s="19" t="n">
        <x:f>D108/(1+参数与事实!$B$5)</x:f>
        <x:v>26.548672566371685</x:v>
      </x:c>
      <x:c r="F108" s="19" t="n">
        <x:f>E108*参数与事实!H35</x:f>
        <x:v>25.2212389380531</x:v>
      </x:c>
      <x:c r="G108" s="19" t="n">
        <x:f>参数与事实!J35</x:f>
        <x:v>0.3</x:v>
      </x:c>
      <x:c r="H108" s="20" t="n">
        <x:f>参数与事实!C35</x:f>
        <x:v>0.4667</x:v>
      </x:c>
      <x:c r="I108" s="19" t="n">
        <x:f>参数与事实!E35+参数与事实!$B$9</x:f>
        <x:v>5</x:v>
      </x:c>
      <x:c r="J108" s="21" t="n">
        <x:f>参数与事实!F35+参数与事实!M35</x:f>
        <x:v>0.06</x:v>
      </x:c>
      <x:c r="K108" s="21" t="n">
        <x:f>参数与事实!G35</x:f>
        <x:v>0.25</x:v>
      </x:c>
      <x:c r="L108" s="15" t="n">
        <x:f>(F108*(1-J108)-I108)*G108</x:f>
        <x:v>5.612389380530973</x:v>
      </x:c>
      <x:c r="M108" s="15" t="n">
        <x:f>MAX(L108,0)*K108</x:f>
        <x:v>1.4030973451327433</x:v>
      </x:c>
      <x:c r="N108" s="22" t="n">
        <x:f>(L108-M108)*H108</x:f>
        <x:v>1.9644765929203538</x:v>
      </x:c>
    </x:row>
    <x:row r="109" ht="23" customHeight="1">
      <x:c r="A109" s="2" t="str">
        <x:v>赣锋锂业</x:v>
      </x:c>
      <x:c r="B109" s="2" t="str">
        <x:v>Cauchari二期首模块</x:v>
      </x:c>
      <x:c r="C109" s="2" t="n">
        <x:v>2029</x:v>
      </x:c>
      <x:c r="D109" s="19" t="n">
        <x:f>参数与事实!E$5</x:f>
        <x:v>10</x:v>
      </x:c>
      <x:c r="E109" s="19" t="n">
        <x:f>D109/(1+参数与事实!$B$5)</x:f>
        <x:v>8.849557522123895</x:v>
      </x:c>
      <x:c r="F109" s="19" t="n">
        <x:f>E109*参数与事实!H35</x:f>
        <x:v>8.4070796460177</x:v>
      </x:c>
      <x:c r="G109" s="19" t="n">
        <x:f>参数与事实!K35</x:f>
        <x:v>1</x:v>
      </x:c>
      <x:c r="H109" s="20" t="n">
        <x:f>参数与事实!C35</x:f>
        <x:v>0.4667</x:v>
      </x:c>
      <x:c r="I109" s="19" t="n">
        <x:f>参数与事实!E35+参数与事实!$B$9</x:f>
        <x:v>5</x:v>
      </x:c>
      <x:c r="J109" s="21" t="n">
        <x:f>参数与事实!F35+参数与事实!N35</x:f>
        <x:v>0.06</x:v>
      </x:c>
      <x:c r="K109" s="21" t="n">
        <x:f>参数与事实!G35</x:f>
        <x:v>0.25</x:v>
      </x:c>
      <x:c r="L109" s="15" t="n">
        <x:f>(F109*(1-J109)-I109)*G109</x:f>
        <x:v>2.9026548672566372</x:v>
      </x:c>
      <x:c r="M109" s="15" t="n">
        <x:f>MAX(L109,0)*K109</x:f>
        <x:v>0.7256637168141593</x:v>
      </x:c>
      <x:c r="N109" s="22" t="n">
        <x:f>(L109-M109)*H109</x:f>
        <x:v>1.0160017699115045</x:v>
      </x:c>
    </x:row>
    <x:row r="110" ht="23" customHeight="1">
      <x:c r="A110" s="2" t="str">
        <x:v>赣锋锂业</x:v>
      </x:c>
      <x:c r="B110" s="2" t="str">
        <x:v>Cauchari二期首模块</x:v>
      </x:c>
      <x:c r="C110" s="2" t="n">
        <x:v>2029</x:v>
      </x:c>
      <x:c r="D110" s="19" t="n">
        <x:f>参数与事实!F$5</x:f>
        <x:v>15</x:v>
      </x:c>
      <x:c r="E110" s="19" t="n">
        <x:f>D110/(1+参数与事实!$B$5)</x:f>
        <x:v>13.274336283185843</x:v>
      </x:c>
      <x:c r="F110" s="19" t="n">
        <x:f>E110*参数与事实!H35</x:f>
        <x:v>12.61061946902655</x:v>
      </x:c>
      <x:c r="G110" s="19" t="n">
        <x:f>参数与事实!K35</x:f>
        <x:v>1</x:v>
      </x:c>
      <x:c r="H110" s="20" t="n">
        <x:f>参数与事实!C35</x:f>
        <x:v>0.4667</x:v>
      </x:c>
      <x:c r="I110" s="19" t="n">
        <x:f>参数与事实!E35+参数与事实!$B$9</x:f>
        <x:v>5</x:v>
      </x:c>
      <x:c r="J110" s="21" t="n">
        <x:f>参数与事实!F35+参数与事实!N35</x:f>
        <x:v>0.06</x:v>
      </x:c>
      <x:c r="K110" s="21" t="n">
        <x:f>参数与事实!G35</x:f>
        <x:v>0.25</x:v>
      </x:c>
      <x:c r="L110" s="15" t="n">
        <x:f>(F110*(1-J110)-I110)*G110</x:f>
        <x:v>6.853982300884956</x:v>
      </x:c>
      <x:c r="M110" s="15" t="n">
        <x:f>MAX(L110,0)*K110</x:f>
        <x:v>1.713495575221239</x:v>
      </x:c>
      <x:c r="N110" s="22" t="n">
        <x:f>(L110-M110)*H110</x:f>
        <x:v>2.3990651548672566</x:v>
      </x:c>
    </x:row>
    <x:row r="111" ht="23" customHeight="1">
      <x:c r="A111" s="2" t="str">
        <x:v>赣锋锂业</x:v>
      </x:c>
      <x:c r="B111" s="2" t="str">
        <x:v>Cauchari二期首模块</x:v>
      </x:c>
      <x:c r="C111" s="2" t="n">
        <x:v>2029</x:v>
      </x:c>
      <x:c r="D111" s="19" t="n">
        <x:f>参数与事实!G$5</x:f>
        <x:v>20</x:v>
      </x:c>
      <x:c r="E111" s="19" t="n">
        <x:f>D111/(1+参数与事实!$B$5)</x:f>
        <x:v>17.69911504424779</x:v>
      </x:c>
      <x:c r="F111" s="19" t="n">
        <x:f>E111*参数与事实!H35</x:f>
        <x:v>16.8141592920354</x:v>
      </x:c>
      <x:c r="G111" s="19" t="n">
        <x:f>参数与事实!K35</x:f>
        <x:v>1</x:v>
      </x:c>
      <x:c r="H111" s="20" t="n">
        <x:f>参数与事实!C35</x:f>
        <x:v>0.4667</x:v>
      </x:c>
      <x:c r="I111" s="19" t="n">
        <x:f>参数与事实!E35+参数与事实!$B$9</x:f>
        <x:v>5</x:v>
      </x:c>
      <x:c r="J111" s="21" t="n">
        <x:f>参数与事实!F35+参数与事实!N35</x:f>
        <x:v>0.06</x:v>
      </x:c>
      <x:c r="K111" s="21" t="n">
        <x:f>参数与事实!G35</x:f>
        <x:v>0.25</x:v>
      </x:c>
      <x:c r="L111" s="15" t="n">
        <x:f>(F111*(1-J111)-I111)*G111</x:f>
        <x:v>10.805309734513274</x:v>
      </x:c>
      <x:c r="M111" s="15" t="n">
        <x:f>MAX(L111,0)*K111</x:f>
        <x:v>2.7013274336283186</x:v>
      </x:c>
      <x:c r="N111" s="22" t="n">
        <x:f>(L111-M111)*H111</x:f>
        <x:v>3.782128539823009</x:v>
      </x:c>
    </x:row>
    <x:row r="112" ht="23" customHeight="1">
      <x:c r="A112" s="2" t="str">
        <x:v>赣锋锂业</x:v>
      </x:c>
      <x:c r="B112" s="2" t="str">
        <x:v>Cauchari二期首模块</x:v>
      </x:c>
      <x:c r="C112" s="2" t="n">
        <x:v>2029</x:v>
      </x:c>
      <x:c r="D112" s="19" t="n">
        <x:f>参数与事实!H$5</x:f>
        <x:v>30</x:v>
      </x:c>
      <x:c r="E112" s="19" t="n">
        <x:f>D112/(1+参数与事实!$B$5)</x:f>
        <x:v>26.548672566371685</x:v>
      </x:c>
      <x:c r="F112" s="19" t="n">
        <x:f>E112*参数与事实!H35</x:f>
        <x:v>25.2212389380531</x:v>
      </x:c>
      <x:c r="G112" s="19" t="n">
        <x:f>参数与事实!K35</x:f>
        <x:v>1</x:v>
      </x:c>
      <x:c r="H112" s="20" t="n">
        <x:f>参数与事实!C35</x:f>
        <x:v>0.4667</x:v>
      </x:c>
      <x:c r="I112" s="19" t="n">
        <x:f>参数与事实!E35+参数与事实!$B$9</x:f>
        <x:v>5</x:v>
      </x:c>
      <x:c r="J112" s="21" t="n">
        <x:f>参数与事实!F35+参数与事实!N35</x:f>
        <x:v>0.06</x:v>
      </x:c>
      <x:c r="K112" s="21" t="n">
        <x:f>参数与事实!G35</x:f>
        <x:v>0.25</x:v>
      </x:c>
      <x:c r="L112" s="15" t="n">
        <x:f>(F112*(1-J112)-I112)*G112</x:f>
        <x:v>18.707964601769913</x:v>
      </x:c>
      <x:c r="M112" s="15" t="n">
        <x:f>MAX(L112,0)*K112</x:f>
        <x:v>4.676991150442478</x:v>
      </x:c>
      <x:c r="N112" s="22" t="n">
        <x:f>(L112-M112)*H112</x:f>
        <x:v>6.548255309734513</x:v>
      </x:c>
    </x:row>
    <x:row r="113" ht="23" customHeight="1">
      <x:c r="A113" s="2" t="str">
        <x:v>赣锋锂业</x:v>
      </x:c>
      <x:c r="B113" s="2" t="str">
        <x:v>Mariana</x:v>
      </x:c>
      <x:c r="C113" s="2" t="n">
        <x:v>2027</x:v>
      </x:c>
      <x:c r="D113" s="19" t="n">
        <x:f>参数与事实!E$5</x:f>
        <x:v>10</x:v>
      </x:c>
      <x:c r="E113" s="19" t="n">
        <x:f>D113/(1+参数与事实!$B$5)</x:f>
        <x:v>8.849557522123895</x:v>
      </x:c>
      <x:c r="F113" s="19" t="n">
        <x:f>E113*参数与事实!H36</x:f>
        <x:v>8.4070796460177</x:v>
      </x:c>
      <x:c r="G113" s="19" t="n">
        <x:f>参数与事实!I36</x:f>
        <x:v>1.4</x:v>
      </x:c>
      <x:c r="H113" s="20" t="n">
        <x:f>参数与事实!C36</x:f>
        <x:v>1</x:v>
      </x:c>
      <x:c r="I113" s="19" t="n">
        <x:f>参数与事实!E36+参数与事实!$B$9</x:f>
        <x:v>4.8</x:v>
      </x:c>
      <x:c r="J113" s="21" t="n">
        <x:f>参数与事实!F36+参数与事实!L36</x:f>
        <x:v>0.03</x:v>
      </x:c>
      <x:c r="K113" s="21" t="n">
        <x:f>参数与事实!G36</x:f>
        <x:v>0.25</x:v>
      </x:c>
      <x:c r="L113" s="15" t="n">
        <x:f>(F113*(1-J113)-I113)*G113</x:f>
        <x:v>4.6968141592920345</x:v>
      </x:c>
      <x:c r="M113" s="15" t="n">
        <x:f>MAX(L113,0)*K113</x:f>
        <x:v>1.1742035398230086</x:v>
      </x:c>
      <x:c r="N113" s="22" t="n">
        <x:f>(L113-M113)*H113</x:f>
        <x:v>3.5226106194690257</x:v>
      </x:c>
    </x:row>
    <x:row r="114" ht="23" customHeight="1">
      <x:c r="A114" s="2" t="str">
        <x:v>赣锋锂业</x:v>
      </x:c>
      <x:c r="B114" s="2" t="str">
        <x:v>Mariana</x:v>
      </x:c>
      <x:c r="C114" s="2" t="n">
        <x:v>2027</x:v>
      </x:c>
      <x:c r="D114" s="19" t="n">
        <x:f>参数与事实!F$5</x:f>
        <x:v>15</x:v>
      </x:c>
      <x:c r="E114" s="19" t="n">
        <x:f>D114/(1+参数与事实!$B$5)</x:f>
        <x:v>13.274336283185843</x:v>
      </x:c>
      <x:c r="F114" s="19" t="n">
        <x:f>E114*参数与事实!H36</x:f>
        <x:v>12.61061946902655</x:v>
      </x:c>
      <x:c r="G114" s="19" t="n">
        <x:f>参数与事实!I36</x:f>
        <x:v>1.4</x:v>
      </x:c>
      <x:c r="H114" s="20" t="n">
        <x:f>参数与事实!C36</x:f>
        <x:v>1</x:v>
      </x:c>
      <x:c r="I114" s="19" t="n">
        <x:f>参数与事实!E36+参数与事实!$B$9</x:f>
        <x:v>4.8</x:v>
      </x:c>
      <x:c r="J114" s="21" t="n">
        <x:f>参数与事实!F36+参数与事实!L36</x:f>
        <x:v>0.03</x:v>
      </x:c>
      <x:c r="K114" s="21" t="n">
        <x:f>参数与事实!G36</x:f>
        <x:v>0.25</x:v>
      </x:c>
      <x:c r="L114" s="15" t="n">
        <x:f>(F114*(1-J114)-I114)*G114</x:f>
        <x:v>10.405221238938054</x:v>
      </x:c>
      <x:c r="M114" s="15" t="n">
        <x:f>MAX(L114,0)*K114</x:f>
        <x:v>2.6013053097345136</x:v>
      </x:c>
      <x:c r="N114" s="22" t="n">
        <x:f>(L114-M114)*H114</x:f>
        <x:v>7.803915929203541</x:v>
      </x:c>
    </x:row>
    <x:row r="115" ht="23" customHeight="1">
      <x:c r="A115" s="2" t="str">
        <x:v>赣锋锂业</x:v>
      </x:c>
      <x:c r="B115" s="2" t="str">
        <x:v>Mariana</x:v>
      </x:c>
      <x:c r="C115" s="2" t="n">
        <x:v>2027</x:v>
      </x:c>
      <x:c r="D115" s="19" t="n">
        <x:f>参数与事实!G$5</x:f>
        <x:v>20</x:v>
      </x:c>
      <x:c r="E115" s="19" t="n">
        <x:f>D115/(1+参数与事实!$B$5)</x:f>
        <x:v>17.69911504424779</x:v>
      </x:c>
      <x:c r="F115" s="19" t="n">
        <x:f>E115*参数与事实!H36</x:f>
        <x:v>16.8141592920354</x:v>
      </x:c>
      <x:c r="G115" s="19" t="n">
        <x:f>参数与事实!I36</x:f>
        <x:v>1.4</x:v>
      </x:c>
      <x:c r="H115" s="20" t="n">
        <x:f>参数与事实!C36</x:f>
        <x:v>1</x:v>
      </x:c>
      <x:c r="I115" s="19" t="n">
        <x:f>参数与事实!E36+参数与事实!$B$9</x:f>
        <x:v>4.8</x:v>
      </x:c>
      <x:c r="J115" s="21" t="n">
        <x:f>参数与事实!F36+参数与事实!L36</x:f>
        <x:v>0.03</x:v>
      </x:c>
      <x:c r="K115" s="21" t="n">
        <x:f>参数与事实!G36</x:f>
        <x:v>0.25</x:v>
      </x:c>
      <x:c r="L115" s="15" t="n">
        <x:f>(F115*(1-J115)-I115)*G115</x:f>
        <x:v>16.11362831858407</x:v>
      </x:c>
      <x:c r="M115" s="15" t="n">
        <x:f>MAX(L115,0)*K115</x:f>
        <x:v>4.028407079646017</x:v>
      </x:c>
      <x:c r="N115" s="22" t="n">
        <x:f>(L115-M115)*H115</x:f>
        <x:v>12.085221238938052</x:v>
      </x:c>
    </x:row>
    <x:row r="116" ht="23" customHeight="1">
      <x:c r="A116" s="2" t="str">
        <x:v>赣锋锂业</x:v>
      </x:c>
      <x:c r="B116" s="2" t="str">
        <x:v>Mariana</x:v>
      </x:c>
      <x:c r="C116" s="2" t="n">
        <x:v>2027</x:v>
      </x:c>
      <x:c r="D116" s="19" t="n">
        <x:f>参数与事实!H$5</x:f>
        <x:v>30</x:v>
      </x:c>
      <x:c r="E116" s="19" t="n">
        <x:f>D116/(1+参数与事实!$B$5)</x:f>
        <x:v>26.548672566371685</x:v>
      </x:c>
      <x:c r="F116" s="19" t="n">
        <x:f>E116*参数与事实!H36</x:f>
        <x:v>25.2212389380531</x:v>
      </x:c>
      <x:c r="G116" s="19" t="n">
        <x:f>参数与事实!I36</x:f>
        <x:v>1.4</x:v>
      </x:c>
      <x:c r="H116" s="20" t="n">
        <x:f>参数与事实!C36</x:f>
        <x:v>1</x:v>
      </x:c>
      <x:c r="I116" s="19" t="n">
        <x:f>参数与事实!E36+参数与事实!$B$9</x:f>
        <x:v>4.8</x:v>
      </x:c>
      <x:c r="J116" s="21" t="n">
        <x:f>参数与事实!F36+参数与事实!L36</x:f>
        <x:v>0.03</x:v>
      </x:c>
      <x:c r="K116" s="21" t="n">
        <x:f>参数与事实!G36</x:f>
        <x:v>0.25</x:v>
      </x:c>
      <x:c r="L116" s="15" t="n">
        <x:f>(F116*(1-J116)-I116)*G116</x:f>
        <x:v>27.530442477876107</x:v>
      </x:c>
      <x:c r="M116" s="15" t="n">
        <x:f>MAX(L116,0)*K116</x:f>
        <x:v>6.882610619469027</x:v>
      </x:c>
      <x:c r="N116" s="22" t="n">
        <x:f>(L116-M116)*H116</x:f>
        <x:v>20.64783185840708</x:v>
      </x:c>
    </x:row>
    <x:row r="117" ht="23" customHeight="1">
      <x:c r="A117" s="2" t="str">
        <x:v>赣锋锂业</x:v>
      </x:c>
      <x:c r="B117" s="2" t="str">
        <x:v>Mariana</x:v>
      </x:c>
      <x:c r="C117" s="2" t="n">
        <x:v>2028</x:v>
      </x:c>
      <x:c r="D117" s="19" t="n">
        <x:f>参数与事实!E$5</x:f>
        <x:v>10</x:v>
      </x:c>
      <x:c r="E117" s="19" t="n">
        <x:f>D117/(1+参数与事实!$B$5)</x:f>
        <x:v>8.849557522123895</x:v>
      </x:c>
      <x:c r="F117" s="19" t="n">
        <x:f>E117*参数与事实!H36</x:f>
        <x:v>8.4070796460177</x:v>
      </x:c>
      <x:c r="G117" s="19" t="n">
        <x:f>参数与事实!J36</x:f>
        <x:v>1.55</x:v>
      </x:c>
      <x:c r="H117" s="20" t="n">
        <x:f>参数与事实!C36</x:f>
        <x:v>1</x:v>
      </x:c>
      <x:c r="I117" s="19" t="n">
        <x:f>参数与事实!E36+参数与事实!$B$9</x:f>
        <x:v>4.8</x:v>
      </x:c>
      <x:c r="J117" s="21" t="n">
        <x:f>参数与事实!F36+参数与事实!M36</x:f>
        <x:v>0.03</x:v>
      </x:c>
      <x:c r="K117" s="21" t="n">
        <x:f>参数与事实!G36</x:f>
        <x:v>0.25</x:v>
      </x:c>
      <x:c r="L117" s="15" t="n">
        <x:f>(F117*(1-J117)-I117)*G117</x:f>
        <x:v>5.200044247787611</x:v>
      </x:c>
      <x:c r="M117" s="15" t="n">
        <x:f>MAX(L117,0)*K117</x:f>
        <x:v>1.3000110619469027</x:v>
      </x:c>
      <x:c r="N117" s="22" t="n">
        <x:f>(L117-M117)*H117</x:f>
        <x:v>3.9000331858407082</x:v>
      </x:c>
    </x:row>
    <x:row r="118" ht="23" customHeight="1">
      <x:c r="A118" s="2" t="str">
        <x:v>赣锋锂业</x:v>
      </x:c>
      <x:c r="B118" s="2" t="str">
        <x:v>Mariana</x:v>
      </x:c>
      <x:c r="C118" s="2" t="n">
        <x:v>2028</x:v>
      </x:c>
      <x:c r="D118" s="19" t="n">
        <x:f>参数与事实!F$5</x:f>
        <x:v>15</x:v>
      </x:c>
      <x:c r="E118" s="19" t="n">
        <x:f>D118/(1+参数与事实!$B$5)</x:f>
        <x:v>13.274336283185843</x:v>
      </x:c>
      <x:c r="F118" s="19" t="n">
        <x:f>E118*参数与事实!H36</x:f>
        <x:v>12.61061946902655</x:v>
      </x:c>
      <x:c r="G118" s="19" t="n">
        <x:f>参数与事实!J36</x:f>
        <x:v>1.55</x:v>
      </x:c>
      <x:c r="H118" s="20" t="n">
        <x:f>参数与事实!C36</x:f>
        <x:v>1</x:v>
      </x:c>
      <x:c r="I118" s="19" t="n">
        <x:f>参数与事实!E36+参数与事实!$B$9</x:f>
        <x:v>4.8</x:v>
      </x:c>
      <x:c r="J118" s="21" t="n">
        <x:f>参数与事实!F36+参数与事实!M36</x:f>
        <x:v>0.03</x:v>
      </x:c>
      <x:c r="K118" s="21" t="n">
        <x:f>参数与事实!G36</x:f>
        <x:v>0.25</x:v>
      </x:c>
      <x:c r="L118" s="15" t="n">
        <x:f>(F118*(1-J118)-I118)*G118</x:f>
        <x:v>11.520066371681418</x:v>
      </x:c>
      <x:c r="M118" s="15" t="n">
        <x:f>MAX(L118,0)*K118</x:f>
        <x:v>2.8800165929203545</x:v>
      </x:c>
      <x:c r="N118" s="22" t="n">
        <x:f>(L118-M118)*H118</x:f>
        <x:v>8.640049778761064</x:v>
      </x:c>
    </x:row>
    <x:row r="119" ht="23" customHeight="1">
      <x:c r="A119" s="2" t="str">
        <x:v>赣锋锂业</x:v>
      </x:c>
      <x:c r="B119" s="2" t="str">
        <x:v>Mariana</x:v>
      </x:c>
      <x:c r="C119" s="2" t="n">
        <x:v>2028</x:v>
      </x:c>
      <x:c r="D119" s="19" t="n">
        <x:f>参数与事实!G$5</x:f>
        <x:v>20</x:v>
      </x:c>
      <x:c r="E119" s="19" t="n">
        <x:f>D119/(1+参数与事实!$B$5)</x:f>
        <x:v>17.69911504424779</x:v>
      </x:c>
      <x:c r="F119" s="19" t="n">
        <x:f>E119*参数与事实!H36</x:f>
        <x:v>16.8141592920354</x:v>
      </x:c>
      <x:c r="G119" s="19" t="n">
        <x:f>参数与事实!J36</x:f>
        <x:v>1.55</x:v>
      </x:c>
      <x:c r="H119" s="20" t="n">
        <x:f>参数与事实!C36</x:f>
        <x:v>1</x:v>
      </x:c>
      <x:c r="I119" s="19" t="n">
        <x:f>参数与事实!E36+参数与事实!$B$9</x:f>
        <x:v>4.8</x:v>
      </x:c>
      <x:c r="J119" s="21" t="n">
        <x:f>参数与事实!F36+参数与事实!M36</x:f>
        <x:v>0.03</x:v>
      </x:c>
      <x:c r="K119" s="21" t="n">
        <x:f>参数与事实!G36</x:f>
        <x:v>0.25</x:v>
      </x:c>
      <x:c r="L119" s="15" t="n">
        <x:f>(F119*(1-J119)-I119)*G119</x:f>
        <x:v>17.84008849557522</x:v>
      </x:c>
      <x:c r="M119" s="15" t="n">
        <x:f>MAX(L119,0)*K119</x:f>
        <x:v>4.460022123893805</x:v>
      </x:c>
      <x:c r="N119" s="22" t="n">
        <x:f>(L119-M119)*H119</x:f>
        <x:v>13.380066371681416</x:v>
      </x:c>
    </x:row>
    <x:row r="120" ht="23" customHeight="1">
      <x:c r="A120" s="2" t="str">
        <x:v>赣锋锂业</x:v>
      </x:c>
      <x:c r="B120" s="2" t="str">
        <x:v>Mariana</x:v>
      </x:c>
      <x:c r="C120" s="2" t="n">
        <x:v>2028</x:v>
      </x:c>
      <x:c r="D120" s="19" t="n">
        <x:f>参数与事实!H$5</x:f>
        <x:v>30</x:v>
      </x:c>
      <x:c r="E120" s="19" t="n">
        <x:f>D120/(1+参数与事实!$B$5)</x:f>
        <x:v>26.548672566371685</x:v>
      </x:c>
      <x:c r="F120" s="19" t="n">
        <x:f>E120*参数与事实!H36</x:f>
        <x:v>25.2212389380531</x:v>
      </x:c>
      <x:c r="G120" s="19" t="n">
        <x:f>参数与事实!J36</x:f>
        <x:v>1.55</x:v>
      </x:c>
      <x:c r="H120" s="20" t="n">
        <x:f>参数与事实!C36</x:f>
        <x:v>1</x:v>
      </x:c>
      <x:c r="I120" s="19" t="n">
        <x:f>参数与事实!E36+参数与事实!$B$9</x:f>
        <x:v>4.8</x:v>
      </x:c>
      <x:c r="J120" s="21" t="n">
        <x:f>参数与事实!F36+参数与事实!M36</x:f>
        <x:v>0.03</x:v>
      </x:c>
      <x:c r="K120" s="21" t="n">
        <x:f>参数与事实!G36</x:f>
        <x:v>0.25</x:v>
      </x:c>
      <x:c r="L120" s="15" t="n">
        <x:f>(F120*(1-J120)-I120)*G120</x:f>
        <x:v>30.480132743362837</x:v>
      </x:c>
      <x:c r="M120" s="15" t="n">
        <x:f>MAX(L120,0)*K120</x:f>
        <x:v>7.620033185840709</x:v>
      </x:c>
      <x:c r="N120" s="22" t="n">
        <x:f>(L120-M120)*H120</x:f>
        <x:v>22.860099557522126</x:v>
      </x:c>
    </x:row>
    <x:row r="121" ht="23" customHeight="1">
      <x:c r="A121" s="2" t="str">
        <x:v>赣锋锂业</x:v>
      </x:c>
      <x:c r="B121" s="2" t="str">
        <x:v>Mariana</x:v>
      </x:c>
      <x:c r="C121" s="2" t="n">
        <x:v>2029</x:v>
      </x:c>
      <x:c r="D121" s="19" t="n">
        <x:f>参数与事实!E$5</x:f>
        <x:v>10</x:v>
      </x:c>
      <x:c r="E121" s="19" t="n">
        <x:f>D121/(1+参数与事实!$B$5)</x:f>
        <x:v>8.849557522123895</x:v>
      </x:c>
      <x:c r="F121" s="19" t="n">
        <x:f>E121*参数与事实!H36</x:f>
        <x:v>8.4070796460177</x:v>
      </x:c>
      <x:c r="G121" s="19" t="n">
        <x:f>参数与事实!K36</x:f>
        <x:v>1.65</x:v>
      </x:c>
      <x:c r="H121" s="20" t="n">
        <x:f>参数与事实!C36</x:f>
        <x:v>1</x:v>
      </x:c>
      <x:c r="I121" s="19" t="n">
        <x:f>参数与事实!E36+参数与事实!$B$9</x:f>
        <x:v>4.8</x:v>
      </x:c>
      <x:c r="J121" s="21" t="n">
        <x:f>参数与事实!F36+参数与事实!N36</x:f>
        <x:v>0.03</x:v>
      </x:c>
      <x:c r="K121" s="21" t="n">
        <x:f>参数与事实!G36</x:f>
        <x:v>0.25</x:v>
      </x:c>
      <x:c r="L121" s="15" t="n">
        <x:f>(F121*(1-J121)-I121)*G121</x:f>
        <x:v>5.535530973451327</x:v>
      </x:c>
      <x:c r="M121" s="15" t="n">
        <x:f>MAX(L121,0)*K121</x:f>
        <x:v>1.3838827433628318</x:v>
      </x:c>
      <x:c r="N121" s="22" t="n">
        <x:f>(L121-M121)*H121</x:f>
        <x:v>4.151648230088496</x:v>
      </x:c>
    </x:row>
    <x:row r="122" ht="23" customHeight="1">
      <x:c r="A122" s="2" t="str">
        <x:v>赣锋锂业</x:v>
      </x:c>
      <x:c r="B122" s="2" t="str">
        <x:v>Mariana</x:v>
      </x:c>
      <x:c r="C122" s="2" t="n">
        <x:v>2029</x:v>
      </x:c>
      <x:c r="D122" s="19" t="n">
        <x:f>参数与事实!F$5</x:f>
        <x:v>15</x:v>
      </x:c>
      <x:c r="E122" s="19" t="n">
        <x:f>D122/(1+参数与事实!$B$5)</x:f>
        <x:v>13.274336283185843</x:v>
      </x:c>
      <x:c r="F122" s="19" t="n">
        <x:f>E122*参数与事实!H36</x:f>
        <x:v>12.61061946902655</x:v>
      </x:c>
      <x:c r="G122" s="19" t="n">
        <x:f>参数与事实!K36</x:f>
        <x:v>1.65</x:v>
      </x:c>
      <x:c r="H122" s="20" t="n">
        <x:f>参数与事实!C36</x:f>
        <x:v>1</x:v>
      </x:c>
      <x:c r="I122" s="19" t="n">
        <x:f>参数与事实!E36+参数与事实!$B$9</x:f>
        <x:v>4.8</x:v>
      </x:c>
      <x:c r="J122" s="21" t="n">
        <x:f>参数与事实!F36+参数与事实!N36</x:f>
        <x:v>0.03</x:v>
      </x:c>
      <x:c r="K122" s="21" t="n">
        <x:f>参数与事实!G36</x:f>
        <x:v>0.25</x:v>
      </x:c>
      <x:c r="L122" s="15" t="n">
        <x:f>(F122*(1-J122)-I122)*G122</x:f>
        <x:v>12.263296460176994</x:v>
      </x:c>
      <x:c r="M122" s="15" t="n">
        <x:f>MAX(L122,0)*K122</x:f>
        <x:v>3.0658241150442485</x:v>
      </x:c>
      <x:c r="N122" s="22" t="n">
        <x:f>(L122-M122)*H122</x:f>
        <x:v>9.197472345132745</x:v>
      </x:c>
    </x:row>
    <x:row r="123" ht="23" customHeight="1">
      <x:c r="A123" s="2" t="str">
        <x:v>赣锋锂业</x:v>
      </x:c>
      <x:c r="B123" s="2" t="str">
        <x:v>Mariana</x:v>
      </x:c>
      <x:c r="C123" s="2" t="n">
        <x:v>2029</x:v>
      </x:c>
      <x:c r="D123" s="19" t="n">
        <x:f>参数与事实!G$5</x:f>
        <x:v>20</x:v>
      </x:c>
      <x:c r="E123" s="19" t="n">
        <x:f>D123/(1+参数与事实!$B$5)</x:f>
        <x:v>17.69911504424779</x:v>
      </x:c>
      <x:c r="F123" s="19" t="n">
        <x:f>E123*参数与事实!H36</x:f>
        <x:v>16.8141592920354</x:v>
      </x:c>
      <x:c r="G123" s="19" t="n">
        <x:f>参数与事实!K36</x:f>
        <x:v>1.65</x:v>
      </x:c>
      <x:c r="H123" s="20" t="n">
        <x:f>参数与事实!C36</x:f>
        <x:v>1</x:v>
      </x:c>
      <x:c r="I123" s="19" t="n">
        <x:f>参数与事实!E36+参数与事实!$B$9</x:f>
        <x:v>4.8</x:v>
      </x:c>
      <x:c r="J123" s="21" t="n">
        <x:f>参数与事实!F36+参数与事实!N36</x:f>
        <x:v>0.03</x:v>
      </x:c>
      <x:c r="K123" s="21" t="n">
        <x:f>参数与事实!G36</x:f>
        <x:v>0.25</x:v>
      </x:c>
      <x:c r="L123" s="15" t="n">
        <x:f>(F123*(1-J123)-I123)*G123</x:f>
        <x:v>18.99106194690265</x:v>
      </x:c>
      <x:c r="M123" s="15" t="n">
        <x:f>MAX(L123,0)*K123</x:f>
        <x:v>4.747765486725663</x:v>
      </x:c>
      <x:c r="N123" s="22" t="n">
        <x:f>(L123-M123)*H123</x:f>
        <x:v>14.243296460176989</x:v>
      </x:c>
    </x:row>
    <x:row r="124" ht="23" customHeight="1">
      <x:c r="A124" s="2" t="str">
        <x:v>赣锋锂业</x:v>
      </x:c>
      <x:c r="B124" s="2" t="str">
        <x:v>Mariana</x:v>
      </x:c>
      <x:c r="C124" s="2" t="n">
        <x:v>2029</x:v>
      </x:c>
      <x:c r="D124" s="19" t="n">
        <x:f>参数与事实!H$5</x:f>
        <x:v>30</x:v>
      </x:c>
      <x:c r="E124" s="19" t="n">
        <x:f>D124/(1+参数与事实!$B$5)</x:f>
        <x:v>26.548672566371685</x:v>
      </x:c>
      <x:c r="F124" s="19" t="n">
        <x:f>E124*参数与事实!H36</x:f>
        <x:v>25.2212389380531</x:v>
      </x:c>
      <x:c r="G124" s="19" t="n">
        <x:f>参数与事实!K36</x:f>
        <x:v>1.65</x:v>
      </x:c>
      <x:c r="H124" s="20" t="n">
        <x:f>参数与事实!C36</x:f>
        <x:v>1</x:v>
      </x:c>
      <x:c r="I124" s="19" t="n">
        <x:f>参数与事实!E36+参数与事实!$B$9</x:f>
        <x:v>4.8</x:v>
      </x:c>
      <x:c r="J124" s="21" t="n">
        <x:f>参数与事实!F36+参数与事实!N36</x:f>
        <x:v>0.03</x:v>
      </x:c>
      <x:c r="K124" s="21" t="n">
        <x:f>参数与事实!G36</x:f>
        <x:v>0.25</x:v>
      </x:c>
      <x:c r="L124" s="15" t="n">
        <x:f>(F124*(1-J124)-I124)*G124</x:f>
        <x:v>32.446592920353986</x:v>
      </x:c>
      <x:c r="M124" s="15" t="n">
        <x:f>MAX(L124,0)*K124</x:f>
        <x:v>8.111648230088496</x:v>
      </x:c>
      <x:c r="N124" s="22" t="n">
        <x:f>(L124-M124)*H124</x:f>
        <x:v>24.334944690265488</x:v>
      </x:c>
    </x:row>
    <x:row r="125" ht="23" customHeight="1">
      <x:c r="A125" s="2" t="str">
        <x:v>赣锋锂业</x:v>
      </x:c>
      <x:c r="B125" s="2" t="str">
        <x:v>加不斯</x:v>
      </x:c>
      <x:c r="C125" s="2" t="n">
        <x:v>2027</x:v>
      </x:c>
      <x:c r="D125" s="19" t="n">
        <x:f>参数与事实!E$5</x:f>
        <x:v>10</x:v>
      </x:c>
      <x:c r="E125" s="19" t="n">
        <x:f>D125/(1+参数与事实!$B$5)</x:f>
        <x:v>8.849557522123895</x:v>
      </x:c>
      <x:c r="F125" s="19" t="n">
        <x:f>MAX(参数与事实!$B$8,E125*参数与事实!$B$7-参数与事实!$B$10)</x:f>
        <x:v>5.764601769911506</x:v>
      </x:c>
      <x:c r="G125" s="19" t="n">
        <x:f>参数与事实!I37</x:f>
        <x:v>0.75</x:v>
      </x:c>
      <x:c r="H125" s="20" t="n">
        <x:f>参数与事实!C37</x:f>
        <x:v>0.7</x:v>
      </x:c>
      <x:c r="I125" s="19" t="n">
        <x:f>参数与事实!E37+参数与事实!$B$9</x:f>
        <x:v>3.9</x:v>
      </x:c>
      <x:c r="J125" s="21" t="n">
        <x:f>参数与事实!F37+参数与事实!L37</x:f>
        <x:v>0.045</x:v>
      </x:c>
      <x:c r="K125" s="21" t="n">
        <x:f>参数与事实!G37</x:f>
        <x:v>0.15</x:v>
      </x:c>
      <x:c r="L125" s="15" t="n">
        <x:f>(F125*(1-J125)-I125)*G125</x:f>
        <x:v>1.2038960176991158</x:v>
      </x:c>
      <x:c r="M125" s="15" t="n">
        <x:f>MAX(L125,0)*K125</x:f>
        <x:v>0.18058440265486736</x:v>
      </x:c>
      <x:c r="N125" s="22" t="n">
        <x:f>(L125-M125)*H125</x:f>
        <x:v>0.7163181305309739</x:v>
      </x:c>
    </x:row>
    <x:row r="126" ht="23" customHeight="1">
      <x:c r="A126" s="2" t="str">
        <x:v>赣锋锂业</x:v>
      </x:c>
      <x:c r="B126" s="2" t="str">
        <x:v>加不斯</x:v>
      </x:c>
      <x:c r="C126" s="2" t="n">
        <x:v>2027</x:v>
      </x:c>
      <x:c r="D126" s="19" t="n">
        <x:f>参数与事实!F$5</x:f>
        <x:v>15</x:v>
      </x:c>
      <x:c r="E126" s="19" t="n">
        <x:f>D126/(1+参数与事实!$B$5)</x:f>
        <x:v>13.274336283185843</x:v>
      </x:c>
      <x:c r="F126" s="19" t="n">
        <x:f>MAX(参数与事实!$B$8,E126*参数与事实!$B$7-参数与事实!$B$10)</x:f>
        <x:v>9.74690265486726</x:v>
      </x:c>
      <x:c r="G126" s="19" t="n">
        <x:f>参数与事实!I37</x:f>
        <x:v>0.75</x:v>
      </x:c>
      <x:c r="H126" s="20" t="n">
        <x:f>参数与事实!C37</x:f>
        <x:v>0.7</x:v>
      </x:c>
      <x:c r="I126" s="19" t="n">
        <x:f>参数与事实!E37+参数与事实!$B$9</x:f>
        <x:v>3.9</x:v>
      </x:c>
      <x:c r="J126" s="21" t="n">
        <x:f>参数与事实!F37+参数与事实!L37</x:f>
        <x:v>0.045</x:v>
      </x:c>
      <x:c r="K126" s="21" t="n">
        <x:f>参数与事实!G37</x:f>
        <x:v>0.15</x:v>
      </x:c>
      <x:c r="L126" s="15" t="n">
        <x:f>(F126*(1-J126)-I126)*G126</x:f>
        <x:v>4.056219026548673</x:v>
      </x:c>
      <x:c r="M126" s="15" t="n">
        <x:f>MAX(L126,0)*K126</x:f>
        <x:v>0.608432853982301</x:v>
      </x:c>
      <x:c r="N126" s="22" t="n">
        <x:f>(L126-M126)*H126</x:f>
        <x:v>2.41345032079646</x:v>
      </x:c>
    </x:row>
    <x:row r="127" ht="23" customHeight="1">
      <x:c r="A127" s="2" t="str">
        <x:v>赣锋锂业</x:v>
      </x:c>
      <x:c r="B127" s="2" t="str">
        <x:v>加不斯</x:v>
      </x:c>
      <x:c r="C127" s="2" t="n">
        <x:v>2027</x:v>
      </x:c>
      <x:c r="D127" s="19" t="n">
        <x:f>参数与事实!G$5</x:f>
        <x:v>20</x:v>
      </x:c>
      <x:c r="E127" s="19" t="n">
        <x:f>D127/(1+参数与事实!$B$5)</x:f>
        <x:v>17.69911504424779</x:v>
      </x:c>
      <x:c r="F127" s="19" t="n">
        <x:f>MAX(参数与事实!$B$8,E127*参数与事实!$B$7-参数与事实!$B$10)</x:f>
        <x:v>13.729203539823011</x:v>
      </x:c>
      <x:c r="G127" s="19" t="n">
        <x:f>参数与事实!I37</x:f>
        <x:v>0.75</x:v>
      </x:c>
      <x:c r="H127" s="20" t="n">
        <x:f>参数与事实!C37</x:f>
        <x:v>0.7</x:v>
      </x:c>
      <x:c r="I127" s="19" t="n">
        <x:f>参数与事实!E37+参数与事实!$B$9</x:f>
        <x:v>3.9</x:v>
      </x:c>
      <x:c r="J127" s="21" t="n">
        <x:f>参数与事实!F37+参数与事实!L37</x:f>
        <x:v>0.045</x:v>
      </x:c>
      <x:c r="K127" s="21" t="n">
        <x:f>参数与事实!G37</x:f>
        <x:v>0.15</x:v>
      </x:c>
      <x:c r="L127" s="15" t="n">
        <x:f>(F127*(1-J127)-I127)*G127</x:f>
        <x:v>6.908542035398231</x:v>
      </x:c>
      <x:c r="M127" s="15" t="n">
        <x:f>MAX(L127,0)*K127</x:f>
        <x:v>1.0362813053097346</x:v>
      </x:c>
      <x:c r="N127" s="22" t="n">
        <x:f>(L127-M127)*H127</x:f>
        <x:v>4.110582511061947</x:v>
      </x:c>
    </x:row>
    <x:row r="128" ht="23" customHeight="1">
      <x:c r="A128" s="2" t="str">
        <x:v>赣锋锂业</x:v>
      </x:c>
      <x:c r="B128" s="2" t="str">
        <x:v>加不斯</x:v>
      </x:c>
      <x:c r="C128" s="2" t="n">
        <x:v>2027</x:v>
      </x:c>
      <x:c r="D128" s="19" t="n">
        <x:f>参数与事实!H$5</x:f>
        <x:v>30</x:v>
      </x:c>
      <x:c r="E128" s="19" t="n">
        <x:f>D128/(1+参数与事实!$B$5)</x:f>
        <x:v>26.548672566371685</x:v>
      </x:c>
      <x:c r="F128" s="19" t="n">
        <x:f>MAX(参数与事实!$B$8,E128*参数与事实!$B$7-参数与事实!$B$10)</x:f>
        <x:v>21.69380530973452</x:v>
      </x:c>
      <x:c r="G128" s="19" t="n">
        <x:f>参数与事实!I37</x:f>
        <x:v>0.75</x:v>
      </x:c>
      <x:c r="H128" s="20" t="n">
        <x:f>参数与事实!C37</x:f>
        <x:v>0.7</x:v>
      </x:c>
      <x:c r="I128" s="19" t="n">
        <x:f>参数与事实!E37+参数与事实!$B$9</x:f>
        <x:v>3.9</x:v>
      </x:c>
      <x:c r="J128" s="21" t="n">
        <x:f>参数与事实!F37+参数与事实!L37</x:f>
        <x:v>0.045</x:v>
      </x:c>
      <x:c r="K128" s="21" t="n">
        <x:f>参数与事实!G37</x:f>
        <x:v>0.15</x:v>
      </x:c>
      <x:c r="L128" s="15" t="n">
        <x:f>(F128*(1-J128)-I128)*G128</x:f>
        <x:v>12.613188053097348</x:v>
      </x:c>
      <x:c r="M128" s="15" t="n">
        <x:f>MAX(L128,0)*K128</x:f>
        <x:v>1.8919782079646021</x:v>
      </x:c>
      <x:c r="N128" s="22" t="n">
        <x:f>(L128-M128)*H128</x:f>
        <x:v>7.504846891592922</x:v>
      </x:c>
    </x:row>
    <x:row r="129" ht="23" customHeight="1">
      <x:c r="A129" s="2" t="str">
        <x:v>赣锋锂业</x:v>
      </x:c>
      <x:c r="B129" s="2" t="str">
        <x:v>加不斯</x:v>
      </x:c>
      <x:c r="C129" s="2" t="n">
        <x:v>2028</x:v>
      </x:c>
      <x:c r="D129" s="19" t="n">
        <x:f>参数与事实!E$5</x:f>
        <x:v>10</x:v>
      </x:c>
      <x:c r="E129" s="19" t="n">
        <x:f>D129/(1+参数与事实!$B$5)</x:f>
        <x:v>8.849557522123895</x:v>
      </x:c>
      <x:c r="F129" s="19" t="n">
        <x:f>MAX(参数与事实!$B$8,E129*参数与事实!$B$7-参数与事实!$B$10)</x:f>
        <x:v>5.764601769911506</x:v>
      </x:c>
      <x:c r="G129" s="19" t="n">
        <x:f>参数与事实!J37</x:f>
        <x:v>0.8</x:v>
      </x:c>
      <x:c r="H129" s="20" t="n">
        <x:f>参数与事实!C37</x:f>
        <x:v>0.7</x:v>
      </x:c>
      <x:c r="I129" s="19" t="n">
        <x:f>参数与事实!E37+参数与事实!$B$9</x:f>
        <x:v>3.9</x:v>
      </x:c>
      <x:c r="J129" s="21" t="n">
        <x:f>参数与事实!F37+参数与事实!M37</x:f>
        <x:v>0.045</x:v>
      </x:c>
      <x:c r="K129" s="21" t="n">
        <x:f>参数与事实!G37</x:f>
        <x:v>0.15</x:v>
      </x:c>
      <x:c r="L129" s="15" t="n">
        <x:f>(F129*(1-J129)-I129)*G129</x:f>
        <x:v>1.2841557522123903</x:v>
      </x:c>
      <x:c r="M129" s="15" t="n">
        <x:f>MAX(L129,0)*K129</x:f>
        <x:v>0.19262336283185855</x:v>
      </x:c>
      <x:c r="N129" s="22" t="n">
        <x:f>(L129-M129)*H129</x:f>
        <x:v>0.7640726725663722</x:v>
      </x:c>
    </x:row>
    <x:row r="130" ht="23" customHeight="1">
      <x:c r="A130" s="2" t="str">
        <x:v>赣锋锂业</x:v>
      </x:c>
      <x:c r="B130" s="2" t="str">
        <x:v>加不斯</x:v>
      </x:c>
      <x:c r="C130" s="2" t="n">
        <x:v>2028</x:v>
      </x:c>
      <x:c r="D130" s="19" t="n">
        <x:f>参数与事实!F$5</x:f>
        <x:v>15</x:v>
      </x:c>
      <x:c r="E130" s="19" t="n">
        <x:f>D130/(1+参数与事实!$B$5)</x:f>
        <x:v>13.274336283185843</x:v>
      </x:c>
      <x:c r="F130" s="19" t="n">
        <x:f>MAX(参数与事实!$B$8,E130*参数与事实!$B$7-参数与事实!$B$10)</x:f>
        <x:v>9.74690265486726</x:v>
      </x:c>
      <x:c r="G130" s="19" t="n">
        <x:f>参数与事实!J37</x:f>
        <x:v>0.8</x:v>
      </x:c>
      <x:c r="H130" s="20" t="n">
        <x:f>参数与事实!C37</x:f>
        <x:v>0.7</x:v>
      </x:c>
      <x:c r="I130" s="19" t="n">
        <x:f>参数与事实!E37+参数与事实!$B$9</x:f>
        <x:v>3.9</x:v>
      </x:c>
      <x:c r="J130" s="21" t="n">
        <x:f>参数与事实!F37+参数与事实!M37</x:f>
        <x:v>0.045</x:v>
      </x:c>
      <x:c r="K130" s="21" t="n">
        <x:f>参数与事实!G37</x:f>
        <x:v>0.15</x:v>
      </x:c>
      <x:c r="L130" s="15" t="n">
        <x:f>(F130*(1-J130)-I130)*G130</x:f>
        <x:v>4.326633628318585</x:v>
      </x:c>
      <x:c r="M130" s="15" t="n">
        <x:f>MAX(L130,0)*K130</x:f>
        <x:v>0.6489950442477878</x:v>
      </x:c>
      <x:c r="N130" s="22" t="n">
        <x:f>(L130-M130)*H130</x:f>
        <x:v>2.574347008849558</x:v>
      </x:c>
    </x:row>
    <x:row r="131" ht="23" customHeight="1">
      <x:c r="A131" s="2" t="str">
        <x:v>赣锋锂业</x:v>
      </x:c>
      <x:c r="B131" s="2" t="str">
        <x:v>加不斯</x:v>
      </x:c>
      <x:c r="C131" s="2" t="n">
        <x:v>2028</x:v>
      </x:c>
      <x:c r="D131" s="19" t="n">
        <x:f>参数与事实!G$5</x:f>
        <x:v>20</x:v>
      </x:c>
      <x:c r="E131" s="19" t="n">
        <x:f>D131/(1+参数与事实!$B$5)</x:f>
        <x:v>17.69911504424779</x:v>
      </x:c>
      <x:c r="F131" s="19" t="n">
        <x:f>MAX(参数与事实!$B$8,E131*参数与事实!$B$7-参数与事实!$B$10)</x:f>
        <x:v>13.729203539823011</x:v>
      </x:c>
      <x:c r="G131" s="19" t="n">
        <x:f>参数与事实!J37</x:f>
        <x:v>0.8</x:v>
      </x:c>
      <x:c r="H131" s="20" t="n">
        <x:f>参数与事实!C37</x:f>
        <x:v>0.7</x:v>
      </x:c>
      <x:c r="I131" s="19" t="n">
        <x:f>参数与事实!E37+参数与事实!$B$9</x:f>
        <x:v>3.9</x:v>
      </x:c>
      <x:c r="J131" s="21" t="n">
        <x:f>参数与事实!F37+参数与事实!M37</x:f>
        <x:v>0.045</x:v>
      </x:c>
      <x:c r="K131" s="21" t="n">
        <x:f>参数与事实!G37</x:f>
        <x:v>0.15</x:v>
      </x:c>
      <x:c r="L131" s="15" t="n">
        <x:f>(F131*(1-J131)-I131)*G131</x:f>
        <x:v>7.3691115044247795</x:v>
      </x:c>
      <x:c r="M131" s="15" t="n">
        <x:f>MAX(L131,0)*K131</x:f>
        <x:v>1.105366725663717</x:v>
      </x:c>
      <x:c r="N131" s="22" t="n">
        <x:f>(L131-M131)*H131</x:f>
        <x:v>4.384621345132744</x:v>
      </x:c>
    </x:row>
    <x:row r="132" ht="23" customHeight="1">
      <x:c r="A132" s="2" t="str">
        <x:v>赣锋锂业</x:v>
      </x:c>
      <x:c r="B132" s="2" t="str">
        <x:v>加不斯</x:v>
      </x:c>
      <x:c r="C132" s="2" t="n">
        <x:v>2028</x:v>
      </x:c>
      <x:c r="D132" s="19" t="n">
        <x:f>参数与事实!H$5</x:f>
        <x:v>30</x:v>
      </x:c>
      <x:c r="E132" s="19" t="n">
        <x:f>D132/(1+参数与事实!$B$5)</x:f>
        <x:v>26.548672566371685</x:v>
      </x:c>
      <x:c r="F132" s="19" t="n">
        <x:f>MAX(参数与事实!$B$8,E132*参数与事实!$B$7-参数与事实!$B$10)</x:f>
        <x:v>21.69380530973452</x:v>
      </x:c>
      <x:c r="G132" s="19" t="n">
        <x:f>参数与事实!J37</x:f>
        <x:v>0.8</x:v>
      </x:c>
      <x:c r="H132" s="20" t="n">
        <x:f>参数与事实!C37</x:f>
        <x:v>0.7</x:v>
      </x:c>
      <x:c r="I132" s="19" t="n">
        <x:f>参数与事实!E37+参数与事实!$B$9</x:f>
        <x:v>3.9</x:v>
      </x:c>
      <x:c r="J132" s="21" t="n">
        <x:f>参数与事实!F37+参数与事实!M37</x:f>
        <x:v>0.045</x:v>
      </x:c>
      <x:c r="K132" s="21" t="n">
        <x:f>参数与事实!G37</x:f>
        <x:v>0.15</x:v>
      </x:c>
      <x:c r="L132" s="15" t="n">
        <x:f>(F132*(1-J132)-I132)*G132</x:f>
        <x:v>13.454067256637172</x:v>
      </x:c>
      <x:c r="M132" s="15" t="n">
        <x:f>MAX(L132,0)*K132</x:f>
        <x:v>2.018110088495576</x:v>
      </x:c>
      <x:c r="N132" s="22" t="n">
        <x:f>(L132-M132)*H132</x:f>
        <x:v>8.005170017699117</x:v>
      </x:c>
    </x:row>
    <x:row r="133" ht="23" customHeight="1">
      <x:c r="A133" s="2" t="str">
        <x:v>赣锋锂业</x:v>
      </x:c>
      <x:c r="B133" s="2" t="str">
        <x:v>加不斯</x:v>
      </x:c>
      <x:c r="C133" s="2" t="n">
        <x:v>2029</x:v>
      </x:c>
      <x:c r="D133" s="19" t="n">
        <x:f>参数与事实!E$5</x:f>
        <x:v>10</x:v>
      </x:c>
      <x:c r="E133" s="19" t="n">
        <x:f>D133/(1+参数与事实!$B$5)</x:f>
        <x:v>8.849557522123895</x:v>
      </x:c>
      <x:c r="F133" s="19" t="n">
        <x:f>MAX(参数与事实!$B$8,E133*参数与事实!$B$7-参数与事实!$B$10)</x:f>
        <x:v>5.764601769911506</x:v>
      </x:c>
      <x:c r="G133" s="19" t="n">
        <x:f>参数与事实!K37</x:f>
        <x:v>0.85</x:v>
      </x:c>
      <x:c r="H133" s="20" t="n">
        <x:f>参数与事实!C37</x:f>
        <x:v>0.7</x:v>
      </x:c>
      <x:c r="I133" s="19" t="n">
        <x:f>参数与事实!E37+参数与事实!$B$9</x:f>
        <x:v>3.9</x:v>
      </x:c>
      <x:c r="J133" s="21" t="n">
        <x:f>参数与事实!F37+参数与事实!N37</x:f>
        <x:v>0.045</x:v>
      </x:c>
      <x:c r="K133" s="21" t="n">
        <x:f>参数与事实!G37</x:f>
        <x:v>0.15</x:v>
      </x:c>
      <x:c r="L133" s="15" t="n">
        <x:f>(F133*(1-J133)-I133)*G133</x:f>
        <x:v>1.3644154867256646</x:v>
      </x:c>
      <x:c r="M133" s="15" t="n">
        <x:f>MAX(L133,0)*K133</x:f>
        <x:v>0.20466232300884968</x:v>
      </x:c>
      <x:c r="N133" s="22" t="n">
        <x:f>(L133-M133)*H133</x:f>
        <x:v>0.8118272146017704</x:v>
      </x:c>
    </x:row>
    <x:row r="134" ht="23" customHeight="1">
      <x:c r="A134" s="2" t="str">
        <x:v>赣锋锂业</x:v>
      </x:c>
      <x:c r="B134" s="2" t="str">
        <x:v>加不斯</x:v>
      </x:c>
      <x:c r="C134" s="2" t="n">
        <x:v>2029</x:v>
      </x:c>
      <x:c r="D134" s="19" t="n">
        <x:f>参数与事实!F$5</x:f>
        <x:v>15</x:v>
      </x:c>
      <x:c r="E134" s="19" t="n">
        <x:f>D134/(1+参数与事实!$B$5)</x:f>
        <x:v>13.274336283185843</x:v>
      </x:c>
      <x:c r="F134" s="19" t="n">
        <x:f>MAX(参数与事实!$B$8,E134*参数与事实!$B$7-参数与事实!$B$10)</x:f>
        <x:v>9.74690265486726</x:v>
      </x:c>
      <x:c r="G134" s="19" t="n">
        <x:f>参数与事实!K37</x:f>
        <x:v>0.85</x:v>
      </x:c>
      <x:c r="H134" s="20" t="n">
        <x:f>参数与事实!C37</x:f>
        <x:v>0.7</x:v>
      </x:c>
      <x:c r="I134" s="19" t="n">
        <x:f>参数与事实!E37+参数与事实!$B$9</x:f>
        <x:v>3.9</x:v>
      </x:c>
      <x:c r="J134" s="21" t="n">
        <x:f>参数与事实!F37+参数与事实!N37</x:f>
        <x:v>0.045</x:v>
      </x:c>
      <x:c r="K134" s="21" t="n">
        <x:f>参数与事实!G37</x:f>
        <x:v>0.15</x:v>
      </x:c>
      <x:c r="L134" s="15" t="n">
        <x:f>(F134*(1-J134)-I134)*G134</x:f>
        <x:v>4.597048230088497</x:v>
      </x:c>
      <x:c r="M134" s="15" t="n">
        <x:f>MAX(L134,0)*K134</x:f>
        <x:v>0.6895572345132744</x:v>
      </x:c>
      <x:c r="N134" s="22" t="n">
        <x:f>(L134-M134)*H134</x:f>
        <x:v>2.7352436969026557</x:v>
      </x:c>
    </x:row>
    <x:row r="135" ht="23" customHeight="1">
      <x:c r="A135" s="2" t="str">
        <x:v>赣锋锂业</x:v>
      </x:c>
      <x:c r="B135" s="2" t="str">
        <x:v>加不斯</x:v>
      </x:c>
      <x:c r="C135" s="2" t="n">
        <x:v>2029</x:v>
      </x:c>
      <x:c r="D135" s="19" t="n">
        <x:f>参数与事实!G$5</x:f>
        <x:v>20</x:v>
      </x:c>
      <x:c r="E135" s="19" t="n">
        <x:f>D135/(1+参数与事实!$B$5)</x:f>
        <x:v>17.69911504424779</x:v>
      </x:c>
      <x:c r="F135" s="19" t="n">
        <x:f>MAX(参数与事实!$B$8,E135*参数与事实!$B$7-参数与事实!$B$10)</x:f>
        <x:v>13.729203539823011</x:v>
      </x:c>
      <x:c r="G135" s="19" t="n">
        <x:f>参数与事实!K37</x:f>
        <x:v>0.85</x:v>
      </x:c>
      <x:c r="H135" s="20" t="n">
        <x:f>参数与事实!C37</x:f>
        <x:v>0.7</x:v>
      </x:c>
      <x:c r="I135" s="19" t="n">
        <x:f>参数与事实!E37+参数与事实!$B$9</x:f>
        <x:v>3.9</x:v>
      </x:c>
      <x:c r="J135" s="21" t="n">
        <x:f>参数与事实!F37+参数与事实!N37</x:f>
        <x:v>0.045</x:v>
      </x:c>
      <x:c r="K135" s="21" t="n">
        <x:f>参数与事实!G37</x:f>
        <x:v>0.15</x:v>
      </x:c>
      <x:c r="L135" s="15" t="n">
        <x:f>(F135*(1-J135)-I135)*G135</x:f>
        <x:v>7.829680973451328</x:v>
      </x:c>
      <x:c r="M135" s="15" t="n">
        <x:f>MAX(L135,0)*K135</x:f>
        <x:v>1.174452146017699</x:v>
      </x:c>
      <x:c r="N135" s="22" t="n">
        <x:f>(L135-M135)*H135</x:f>
        <x:v>4.65866017920354</x:v>
      </x:c>
    </x:row>
    <x:row r="136" ht="23" customHeight="1">
      <x:c r="A136" s="2" t="str">
        <x:v>赣锋锂业</x:v>
      </x:c>
      <x:c r="B136" s="2" t="str">
        <x:v>加不斯</x:v>
      </x:c>
      <x:c r="C136" s="2" t="n">
        <x:v>2029</x:v>
      </x:c>
      <x:c r="D136" s="19" t="n">
        <x:f>参数与事实!H$5</x:f>
        <x:v>30</x:v>
      </x:c>
      <x:c r="E136" s="19" t="n">
        <x:f>D136/(1+参数与事实!$B$5)</x:f>
        <x:v>26.548672566371685</x:v>
      </x:c>
      <x:c r="F136" s="19" t="n">
        <x:f>MAX(参数与事实!$B$8,E136*参数与事实!$B$7-参数与事实!$B$10)</x:f>
        <x:v>21.69380530973452</x:v>
      </x:c>
      <x:c r="G136" s="19" t="n">
        <x:f>参数与事实!K37</x:f>
        <x:v>0.85</x:v>
      </x:c>
      <x:c r="H136" s="20" t="n">
        <x:f>参数与事实!C37</x:f>
        <x:v>0.7</x:v>
      </x:c>
      <x:c r="I136" s="19" t="n">
        <x:f>参数与事实!E37+参数与事实!$B$9</x:f>
        <x:v>3.9</x:v>
      </x:c>
      <x:c r="J136" s="21" t="n">
        <x:f>参数与事实!F37+参数与事实!N37</x:f>
        <x:v>0.045</x:v>
      </x:c>
      <x:c r="K136" s="21" t="n">
        <x:f>参数与事实!G37</x:f>
        <x:v>0.15</x:v>
      </x:c>
      <x:c r="L136" s="15" t="n">
        <x:f>(F136*(1-J136)-I136)*G136</x:f>
        <x:v>14.294946460176995</x:v>
      </x:c>
      <x:c r="M136" s="15" t="n">
        <x:f>MAX(L136,0)*K136</x:f>
        <x:v>2.1442419690265493</x:v>
      </x:c>
      <x:c r="N136" s="22" t="n">
        <x:f>(L136-M136)*H136</x:f>
        <x:v>8.505493143805312</x:v>
      </x:c>
    </x:row>
    <x:row r="137" ht="23" customHeight="1">
      <x:c r="A137" s="2" t="str">
        <x:v>赣锋锂业</x:v>
      </x:c>
      <x:c r="B137" s="2" t="str">
        <x:v>宁都河源</x:v>
      </x:c>
      <x:c r="C137" s="2" t="n">
        <x:v>2027</x:v>
      </x:c>
      <x:c r="D137" s="19" t="n">
        <x:f>参数与事实!E$5</x:f>
        <x:v>10</x:v>
      </x:c>
      <x:c r="E137" s="19" t="n">
        <x:f>D137/(1+参数与事实!$B$5)</x:f>
        <x:v>8.849557522123895</x:v>
      </x:c>
      <x:c r="F137" s="19" t="n">
        <x:f>MAX(参数与事实!$B$8,E137*参数与事实!$B$7-参数与事实!$B$10)</x:f>
        <x:v>5.764601769911506</x:v>
      </x:c>
      <x:c r="G137" s="19" t="n">
        <x:f>参数与事实!I38</x:f>
        <x:v>0.2</x:v>
      </x:c>
      <x:c r="H137" s="20" t="n">
        <x:f>参数与事实!C38</x:f>
        <x:v>1</x:v>
      </x:c>
      <x:c r="I137" s="19" t="n">
        <x:f>参数与事实!E38+参数与事实!$B$9</x:f>
        <x:v>3.9</x:v>
      </x:c>
      <x:c r="J137" s="21" t="n">
        <x:f>参数与事实!F38+参数与事实!L38</x:f>
        <x:v>0.045</x:v>
      </x:c>
      <x:c r="K137" s="21" t="n">
        <x:f>参数与事实!G38</x:f>
        <x:v>0.15</x:v>
      </x:c>
      <x:c r="L137" s="15" t="n">
        <x:f>(F137*(1-J137)-I137)*G137</x:f>
        <x:v>0.3210389380530976</x:v>
      </x:c>
      <x:c r="M137" s="15" t="n">
        <x:f>MAX(L137,0)*K137</x:f>
        <x:v>0.04815584070796464</x:v>
      </x:c>
      <x:c r="N137" s="22" t="n">
        <x:f>(L137-M137)*H137</x:f>
        <x:v>0.27288309734513294</x:v>
      </x:c>
    </x:row>
    <x:row r="138" ht="23" customHeight="1">
      <x:c r="A138" s="2" t="str">
        <x:v>赣锋锂业</x:v>
      </x:c>
      <x:c r="B138" s="2" t="str">
        <x:v>宁都河源</x:v>
      </x:c>
      <x:c r="C138" s="2" t="n">
        <x:v>2027</x:v>
      </x:c>
      <x:c r="D138" s="19" t="n">
        <x:f>参数与事实!F$5</x:f>
        <x:v>15</x:v>
      </x:c>
      <x:c r="E138" s="19" t="n">
        <x:f>D138/(1+参数与事实!$B$5)</x:f>
        <x:v>13.274336283185843</x:v>
      </x:c>
      <x:c r="F138" s="19" t="n">
        <x:f>MAX(参数与事实!$B$8,E138*参数与事实!$B$7-参数与事实!$B$10)</x:f>
        <x:v>9.74690265486726</x:v>
      </x:c>
      <x:c r="G138" s="19" t="n">
        <x:f>参数与事实!I38</x:f>
        <x:v>0.2</x:v>
      </x:c>
      <x:c r="H138" s="20" t="n">
        <x:f>参数与事实!C38</x:f>
        <x:v>1</x:v>
      </x:c>
      <x:c r="I138" s="19" t="n">
        <x:f>参数与事实!E38+参数与事实!$B$9</x:f>
        <x:v>3.9</x:v>
      </x:c>
      <x:c r="J138" s="21" t="n">
        <x:f>参数与事实!F38+参数与事实!L38</x:f>
        <x:v>0.045</x:v>
      </x:c>
      <x:c r="K138" s="21" t="n">
        <x:f>参数与事实!G38</x:f>
        <x:v>0.15</x:v>
      </x:c>
      <x:c r="L138" s="15" t="n">
        <x:f>(F138*(1-J138)-I138)*G138</x:f>
        <x:v>1.0816584070796462</x:v>
      </x:c>
      <x:c r="M138" s="15" t="n">
        <x:f>MAX(L138,0)*K138</x:f>
        <x:v>0.16224876106194694</x:v>
      </x:c>
      <x:c r="N138" s="22" t="n">
        <x:f>(L138-M138)*H138</x:f>
        <x:v>0.9194096460176993</x:v>
      </x:c>
    </x:row>
    <x:row r="139" ht="23" customHeight="1">
      <x:c r="A139" s="2" t="str">
        <x:v>赣锋锂业</x:v>
      </x:c>
      <x:c r="B139" s="2" t="str">
        <x:v>宁都河源</x:v>
      </x:c>
      <x:c r="C139" s="2" t="n">
        <x:v>2027</x:v>
      </x:c>
      <x:c r="D139" s="19" t="n">
        <x:f>参数与事实!G$5</x:f>
        <x:v>20</x:v>
      </x:c>
      <x:c r="E139" s="19" t="n">
        <x:f>D139/(1+参数与事实!$B$5)</x:f>
        <x:v>17.69911504424779</x:v>
      </x:c>
      <x:c r="F139" s="19" t="n">
        <x:f>MAX(参数与事实!$B$8,E139*参数与事实!$B$7-参数与事实!$B$10)</x:f>
        <x:v>13.729203539823011</x:v>
      </x:c>
      <x:c r="G139" s="19" t="n">
        <x:f>参数与事实!I38</x:f>
        <x:v>0.2</x:v>
      </x:c>
      <x:c r="H139" s="20" t="n">
        <x:f>参数与事实!C38</x:f>
        <x:v>1</x:v>
      </x:c>
      <x:c r="I139" s="19" t="n">
        <x:f>参数与事实!E38+参数与事实!$B$9</x:f>
        <x:v>3.9</x:v>
      </x:c>
      <x:c r="J139" s="21" t="n">
        <x:f>参数与事实!F38+参数与事实!L38</x:f>
        <x:v>0.045</x:v>
      </x:c>
      <x:c r="K139" s="21" t="n">
        <x:f>参数与事实!G38</x:f>
        <x:v>0.15</x:v>
      </x:c>
      <x:c r="L139" s="15" t="n">
        <x:f>(F139*(1-J139)-I139)*G139</x:f>
        <x:v>1.8422778761061949</x:v>
      </x:c>
      <x:c r="M139" s="15" t="n">
        <x:f>MAX(L139,0)*K139</x:f>
        <x:v>0.27634168141592924</x:v>
      </x:c>
      <x:c r="N139" s="22" t="n">
        <x:f>(L139-M139)*H139</x:f>
        <x:v>1.5659361946902657</x:v>
      </x:c>
    </x:row>
    <x:row r="140" ht="23" customHeight="1">
      <x:c r="A140" s="2" t="str">
        <x:v>赣锋锂业</x:v>
      </x:c>
      <x:c r="B140" s="2" t="str">
        <x:v>宁都河源</x:v>
      </x:c>
      <x:c r="C140" s="2" t="n">
        <x:v>2027</x:v>
      </x:c>
      <x:c r="D140" s="19" t="n">
        <x:f>参数与事实!H$5</x:f>
        <x:v>30</x:v>
      </x:c>
      <x:c r="E140" s="19" t="n">
        <x:f>D140/(1+参数与事实!$B$5)</x:f>
        <x:v>26.548672566371685</x:v>
      </x:c>
      <x:c r="F140" s="19" t="n">
        <x:f>MAX(参数与事实!$B$8,E140*参数与事实!$B$7-参数与事实!$B$10)</x:f>
        <x:v>21.69380530973452</x:v>
      </x:c>
      <x:c r="G140" s="19" t="n">
        <x:f>参数与事实!I38</x:f>
        <x:v>0.2</x:v>
      </x:c>
      <x:c r="H140" s="20" t="n">
        <x:f>参数与事实!C38</x:f>
        <x:v>1</x:v>
      </x:c>
      <x:c r="I140" s="19" t="n">
        <x:f>参数与事实!E38+参数与事实!$B$9</x:f>
        <x:v>3.9</x:v>
      </x:c>
      <x:c r="J140" s="21" t="n">
        <x:f>参数与事实!F38+参数与事实!L38</x:f>
        <x:v>0.045</x:v>
      </x:c>
      <x:c r="K140" s="21" t="n">
        <x:f>参数与事实!G38</x:f>
        <x:v>0.15</x:v>
      </x:c>
      <x:c r="L140" s="15" t="n">
        <x:f>(F140*(1-J140)-I140)*G140</x:f>
        <x:v>3.363516814159293</x:v>
      </x:c>
      <x:c r="M140" s="15" t="n">
        <x:f>MAX(L140,0)*K140</x:f>
        <x:v>0.504527522123894</x:v>
      </x:c>
      <x:c r="N140" s="22" t="n">
        <x:f>(L140-M140)*H140</x:f>
        <x:v>2.858989292035399</x:v>
      </x:c>
    </x:row>
    <x:row r="141" ht="23" customHeight="1">
      <x:c r="A141" s="2" t="str">
        <x:v>赣锋锂业</x:v>
      </x:c>
      <x:c r="B141" s="2" t="str">
        <x:v>宁都河源</x:v>
      </x:c>
      <x:c r="C141" s="2" t="n">
        <x:v>2028</x:v>
      </x:c>
      <x:c r="D141" s="19" t="n">
        <x:f>参数与事实!E$5</x:f>
        <x:v>10</x:v>
      </x:c>
      <x:c r="E141" s="19" t="n">
        <x:f>D141/(1+参数与事实!$B$5)</x:f>
        <x:v>8.849557522123895</x:v>
      </x:c>
      <x:c r="F141" s="19" t="n">
        <x:f>MAX(参数与事实!$B$8,E141*参数与事实!$B$7-参数与事实!$B$10)</x:f>
        <x:v>5.764601769911506</x:v>
      </x:c>
      <x:c r="G141" s="19" t="n">
        <x:f>参数与事实!J38</x:f>
        <x:v>0.2</x:v>
      </x:c>
      <x:c r="H141" s="20" t="n">
        <x:f>参数与事实!C38</x:f>
        <x:v>1</x:v>
      </x:c>
      <x:c r="I141" s="19" t="n">
        <x:f>参数与事实!E38+参数与事实!$B$9</x:f>
        <x:v>3.9</x:v>
      </x:c>
      <x:c r="J141" s="21" t="n">
        <x:f>参数与事实!F38+参数与事实!M38</x:f>
        <x:v>0.045</x:v>
      </x:c>
      <x:c r="K141" s="21" t="n">
        <x:f>参数与事实!G38</x:f>
        <x:v>0.15</x:v>
      </x:c>
      <x:c r="L141" s="15" t="n">
        <x:f>(F141*(1-J141)-I141)*G141</x:f>
        <x:v>0.3210389380530976</x:v>
      </x:c>
      <x:c r="M141" s="15" t="n">
        <x:f>MAX(L141,0)*K141</x:f>
        <x:v>0.04815584070796464</x:v>
      </x:c>
      <x:c r="N141" s="22" t="n">
        <x:f>(L141-M141)*H141</x:f>
        <x:v>0.27288309734513294</x:v>
      </x:c>
    </x:row>
    <x:row r="142" ht="23" customHeight="1">
      <x:c r="A142" s="2" t="str">
        <x:v>赣锋锂业</x:v>
      </x:c>
      <x:c r="B142" s="2" t="str">
        <x:v>宁都河源</x:v>
      </x:c>
      <x:c r="C142" s="2" t="n">
        <x:v>2028</x:v>
      </x:c>
      <x:c r="D142" s="19" t="n">
        <x:f>参数与事实!F$5</x:f>
        <x:v>15</x:v>
      </x:c>
      <x:c r="E142" s="19" t="n">
        <x:f>D142/(1+参数与事实!$B$5)</x:f>
        <x:v>13.274336283185843</x:v>
      </x:c>
      <x:c r="F142" s="19" t="n">
        <x:f>MAX(参数与事实!$B$8,E142*参数与事实!$B$7-参数与事实!$B$10)</x:f>
        <x:v>9.74690265486726</x:v>
      </x:c>
      <x:c r="G142" s="19" t="n">
        <x:f>参数与事实!J38</x:f>
        <x:v>0.2</x:v>
      </x:c>
      <x:c r="H142" s="20" t="n">
        <x:f>参数与事实!C38</x:f>
        <x:v>1</x:v>
      </x:c>
      <x:c r="I142" s="19" t="n">
        <x:f>参数与事实!E38+参数与事实!$B$9</x:f>
        <x:v>3.9</x:v>
      </x:c>
      <x:c r="J142" s="21" t="n">
        <x:f>参数与事实!F38+参数与事实!M38</x:f>
        <x:v>0.045</x:v>
      </x:c>
      <x:c r="K142" s="21" t="n">
        <x:f>参数与事实!G38</x:f>
        <x:v>0.15</x:v>
      </x:c>
      <x:c r="L142" s="15" t="n">
        <x:f>(F142*(1-J142)-I142)*G142</x:f>
        <x:v>1.0816584070796462</x:v>
      </x:c>
      <x:c r="M142" s="15" t="n">
        <x:f>MAX(L142,0)*K142</x:f>
        <x:v>0.16224876106194694</x:v>
      </x:c>
      <x:c r="N142" s="22" t="n">
        <x:f>(L142-M142)*H142</x:f>
        <x:v>0.9194096460176993</x:v>
      </x:c>
    </x:row>
    <x:row r="143" ht="23" customHeight="1">
      <x:c r="A143" s="2" t="str">
        <x:v>赣锋锂业</x:v>
      </x:c>
      <x:c r="B143" s="2" t="str">
        <x:v>宁都河源</x:v>
      </x:c>
      <x:c r="C143" s="2" t="n">
        <x:v>2028</x:v>
      </x:c>
      <x:c r="D143" s="19" t="n">
        <x:f>参数与事实!G$5</x:f>
        <x:v>20</x:v>
      </x:c>
      <x:c r="E143" s="19" t="n">
        <x:f>D143/(1+参数与事实!$B$5)</x:f>
        <x:v>17.69911504424779</x:v>
      </x:c>
      <x:c r="F143" s="19" t="n">
        <x:f>MAX(参数与事实!$B$8,E143*参数与事实!$B$7-参数与事实!$B$10)</x:f>
        <x:v>13.729203539823011</x:v>
      </x:c>
      <x:c r="G143" s="19" t="n">
        <x:f>参数与事实!J38</x:f>
        <x:v>0.2</x:v>
      </x:c>
      <x:c r="H143" s="20" t="n">
        <x:f>参数与事实!C38</x:f>
        <x:v>1</x:v>
      </x:c>
      <x:c r="I143" s="19" t="n">
        <x:f>参数与事实!E38+参数与事实!$B$9</x:f>
        <x:v>3.9</x:v>
      </x:c>
      <x:c r="J143" s="21" t="n">
        <x:f>参数与事实!F38+参数与事实!M38</x:f>
        <x:v>0.045</x:v>
      </x:c>
      <x:c r="K143" s="21" t="n">
        <x:f>参数与事实!G38</x:f>
        <x:v>0.15</x:v>
      </x:c>
      <x:c r="L143" s="15" t="n">
        <x:f>(F143*(1-J143)-I143)*G143</x:f>
        <x:v>1.8422778761061949</x:v>
      </x:c>
      <x:c r="M143" s="15" t="n">
        <x:f>MAX(L143,0)*K143</x:f>
        <x:v>0.27634168141592924</x:v>
      </x:c>
      <x:c r="N143" s="22" t="n">
        <x:f>(L143-M143)*H143</x:f>
        <x:v>1.5659361946902657</x:v>
      </x:c>
    </x:row>
    <x:row r="144" ht="23" customHeight="1">
      <x:c r="A144" s="2" t="str">
        <x:v>赣锋锂业</x:v>
      </x:c>
      <x:c r="B144" s="2" t="str">
        <x:v>宁都河源</x:v>
      </x:c>
      <x:c r="C144" s="2" t="n">
        <x:v>2028</x:v>
      </x:c>
      <x:c r="D144" s="19" t="n">
        <x:f>参数与事实!H$5</x:f>
        <x:v>30</x:v>
      </x:c>
      <x:c r="E144" s="19" t="n">
        <x:f>D144/(1+参数与事实!$B$5)</x:f>
        <x:v>26.548672566371685</x:v>
      </x:c>
      <x:c r="F144" s="19" t="n">
        <x:f>MAX(参数与事实!$B$8,E144*参数与事实!$B$7-参数与事实!$B$10)</x:f>
        <x:v>21.69380530973452</x:v>
      </x:c>
      <x:c r="G144" s="19" t="n">
        <x:f>参数与事实!J38</x:f>
        <x:v>0.2</x:v>
      </x:c>
      <x:c r="H144" s="20" t="n">
        <x:f>参数与事实!C38</x:f>
        <x:v>1</x:v>
      </x:c>
      <x:c r="I144" s="19" t="n">
        <x:f>参数与事实!E38+参数与事实!$B$9</x:f>
        <x:v>3.9</x:v>
      </x:c>
      <x:c r="J144" s="21" t="n">
        <x:f>参数与事实!F38+参数与事实!M38</x:f>
        <x:v>0.045</x:v>
      </x:c>
      <x:c r="K144" s="21" t="n">
        <x:f>参数与事实!G38</x:f>
        <x:v>0.15</x:v>
      </x:c>
      <x:c r="L144" s="15" t="n">
        <x:f>(F144*(1-J144)-I144)*G144</x:f>
        <x:v>3.363516814159293</x:v>
      </x:c>
      <x:c r="M144" s="15" t="n">
        <x:f>MAX(L144,0)*K144</x:f>
        <x:v>0.504527522123894</x:v>
      </x:c>
      <x:c r="N144" s="22" t="n">
        <x:f>(L144-M144)*H144</x:f>
        <x:v>2.858989292035399</x:v>
      </x:c>
    </x:row>
    <x:row r="145" ht="23" customHeight="1">
      <x:c r="A145" s="2" t="str">
        <x:v>赣锋锂业</x:v>
      </x:c>
      <x:c r="B145" s="2" t="str">
        <x:v>宁都河源</x:v>
      </x:c>
      <x:c r="C145" s="2" t="n">
        <x:v>2029</x:v>
      </x:c>
      <x:c r="D145" s="19" t="n">
        <x:f>参数与事实!E$5</x:f>
        <x:v>10</x:v>
      </x:c>
      <x:c r="E145" s="19" t="n">
        <x:f>D145/(1+参数与事实!$B$5)</x:f>
        <x:v>8.849557522123895</x:v>
      </x:c>
      <x:c r="F145" s="19" t="n">
        <x:f>MAX(参数与事实!$B$8,E145*参数与事实!$B$7-参数与事实!$B$10)</x:f>
        <x:v>5.764601769911506</x:v>
      </x:c>
      <x:c r="G145" s="19" t="n">
        <x:f>参数与事实!K38</x:f>
        <x:v>0.2</x:v>
      </x:c>
      <x:c r="H145" s="20" t="n">
        <x:f>参数与事实!C38</x:f>
        <x:v>1</x:v>
      </x:c>
      <x:c r="I145" s="19" t="n">
        <x:f>参数与事实!E38+参数与事实!$B$9</x:f>
        <x:v>3.9</x:v>
      </x:c>
      <x:c r="J145" s="21" t="n">
        <x:f>参数与事实!F38+参数与事实!N38</x:f>
        <x:v>0.045</x:v>
      </x:c>
      <x:c r="K145" s="21" t="n">
        <x:f>参数与事实!G38</x:f>
        <x:v>0.15</x:v>
      </x:c>
      <x:c r="L145" s="15" t="n">
        <x:f>(F145*(1-J145)-I145)*G145</x:f>
        <x:v>0.3210389380530976</x:v>
      </x:c>
      <x:c r="M145" s="15" t="n">
        <x:f>MAX(L145,0)*K145</x:f>
        <x:v>0.04815584070796464</x:v>
      </x:c>
      <x:c r="N145" s="22" t="n">
        <x:f>(L145-M145)*H145</x:f>
        <x:v>0.27288309734513294</x:v>
      </x:c>
    </x:row>
    <x:row r="146" ht="23" customHeight="1">
      <x:c r="A146" s="2" t="str">
        <x:v>赣锋锂业</x:v>
      </x:c>
      <x:c r="B146" s="2" t="str">
        <x:v>宁都河源</x:v>
      </x:c>
      <x:c r="C146" s="2" t="n">
        <x:v>2029</x:v>
      </x:c>
      <x:c r="D146" s="19" t="n">
        <x:f>参数与事实!F$5</x:f>
        <x:v>15</x:v>
      </x:c>
      <x:c r="E146" s="19" t="n">
        <x:f>D146/(1+参数与事实!$B$5)</x:f>
        <x:v>13.274336283185843</x:v>
      </x:c>
      <x:c r="F146" s="19" t="n">
        <x:f>MAX(参数与事实!$B$8,E146*参数与事实!$B$7-参数与事实!$B$10)</x:f>
        <x:v>9.74690265486726</x:v>
      </x:c>
      <x:c r="G146" s="19" t="n">
        <x:f>参数与事实!K38</x:f>
        <x:v>0.2</x:v>
      </x:c>
      <x:c r="H146" s="20" t="n">
        <x:f>参数与事实!C38</x:f>
        <x:v>1</x:v>
      </x:c>
      <x:c r="I146" s="19" t="n">
        <x:f>参数与事实!E38+参数与事实!$B$9</x:f>
        <x:v>3.9</x:v>
      </x:c>
      <x:c r="J146" s="21" t="n">
        <x:f>参数与事实!F38+参数与事实!N38</x:f>
        <x:v>0.045</x:v>
      </x:c>
      <x:c r="K146" s="21" t="n">
        <x:f>参数与事实!G38</x:f>
        <x:v>0.15</x:v>
      </x:c>
      <x:c r="L146" s="15" t="n">
        <x:f>(F146*(1-J146)-I146)*G146</x:f>
        <x:v>1.0816584070796462</x:v>
      </x:c>
      <x:c r="M146" s="15" t="n">
        <x:f>MAX(L146,0)*K146</x:f>
        <x:v>0.16224876106194694</x:v>
      </x:c>
      <x:c r="N146" s="22" t="n">
        <x:f>(L146-M146)*H146</x:f>
        <x:v>0.9194096460176993</x:v>
      </x:c>
    </x:row>
    <x:row r="147" ht="23" customHeight="1">
      <x:c r="A147" s="2" t="str">
        <x:v>赣锋锂业</x:v>
      </x:c>
      <x:c r="B147" s="2" t="str">
        <x:v>宁都河源</x:v>
      </x:c>
      <x:c r="C147" s="2" t="n">
        <x:v>2029</x:v>
      </x:c>
      <x:c r="D147" s="19" t="n">
        <x:f>参数与事实!G$5</x:f>
        <x:v>20</x:v>
      </x:c>
      <x:c r="E147" s="19" t="n">
        <x:f>D147/(1+参数与事实!$B$5)</x:f>
        <x:v>17.69911504424779</x:v>
      </x:c>
      <x:c r="F147" s="19" t="n">
        <x:f>MAX(参数与事实!$B$8,E147*参数与事实!$B$7-参数与事实!$B$10)</x:f>
        <x:v>13.729203539823011</x:v>
      </x:c>
      <x:c r="G147" s="19" t="n">
        <x:f>参数与事实!K38</x:f>
        <x:v>0.2</x:v>
      </x:c>
      <x:c r="H147" s="20" t="n">
        <x:f>参数与事实!C38</x:f>
        <x:v>1</x:v>
      </x:c>
      <x:c r="I147" s="19" t="n">
        <x:f>参数与事实!E38+参数与事实!$B$9</x:f>
        <x:v>3.9</x:v>
      </x:c>
      <x:c r="J147" s="21" t="n">
        <x:f>参数与事实!F38+参数与事实!N38</x:f>
        <x:v>0.045</x:v>
      </x:c>
      <x:c r="K147" s="21" t="n">
        <x:f>参数与事实!G38</x:f>
        <x:v>0.15</x:v>
      </x:c>
      <x:c r="L147" s="15" t="n">
        <x:f>(F147*(1-J147)-I147)*G147</x:f>
        <x:v>1.8422778761061949</x:v>
      </x:c>
      <x:c r="M147" s="15" t="n">
        <x:f>MAX(L147,0)*K147</x:f>
        <x:v>0.27634168141592924</x:v>
      </x:c>
      <x:c r="N147" s="22" t="n">
        <x:f>(L147-M147)*H147</x:f>
        <x:v>1.5659361946902657</x:v>
      </x:c>
    </x:row>
    <x:row r="148" ht="23" customHeight="1">
      <x:c r="A148" s="2" t="str">
        <x:v>赣锋锂业</x:v>
      </x:c>
      <x:c r="B148" s="2" t="str">
        <x:v>宁都河源</x:v>
      </x:c>
      <x:c r="C148" s="2" t="n">
        <x:v>2029</x:v>
      </x:c>
      <x:c r="D148" s="19" t="n">
        <x:f>参数与事实!H$5</x:f>
        <x:v>30</x:v>
      </x:c>
      <x:c r="E148" s="19" t="n">
        <x:f>D148/(1+参数与事实!$B$5)</x:f>
        <x:v>26.548672566371685</x:v>
      </x:c>
      <x:c r="F148" s="19" t="n">
        <x:f>MAX(参数与事实!$B$8,E148*参数与事实!$B$7-参数与事实!$B$10)</x:f>
        <x:v>21.69380530973452</x:v>
      </x:c>
      <x:c r="G148" s="19" t="n">
        <x:f>参数与事实!K38</x:f>
        <x:v>0.2</x:v>
      </x:c>
      <x:c r="H148" s="20" t="n">
        <x:f>参数与事实!C38</x:f>
        <x:v>1</x:v>
      </x:c>
      <x:c r="I148" s="19" t="n">
        <x:f>参数与事实!E38+参数与事实!$B$9</x:f>
        <x:v>3.9</x:v>
      </x:c>
      <x:c r="J148" s="21" t="n">
        <x:f>参数与事实!F38+参数与事实!N38</x:f>
        <x:v>0.045</x:v>
      </x:c>
      <x:c r="K148" s="21" t="n">
        <x:f>参数与事实!G38</x:f>
        <x:v>0.15</x:v>
      </x:c>
      <x:c r="L148" s="15" t="n">
        <x:f>(F148*(1-J148)-I148)*G148</x:f>
        <x:v>3.363516814159293</x:v>
      </x:c>
      <x:c r="M148" s="15" t="n">
        <x:f>MAX(L148,0)*K148</x:f>
        <x:v>0.504527522123894</x:v>
      </x:c>
      <x:c r="N148" s="22" t="n">
        <x:f>(L148-M148)*H148</x:f>
        <x:v>2.858989292035399</x:v>
      </x:c>
    </x:row>
    <x:row r="149" ht="23" customHeight="1">
      <x:c r="A149" s="2" t="str">
        <x:v>赣锋锂业</x:v>
      </x:c>
      <x:c r="B149" s="2" t="str">
        <x:v>邦巴利</x:v>
      </x:c>
      <x:c r="C149" s="2" t="n">
        <x:v>2027</x:v>
      </x:c>
      <x:c r="D149" s="19" t="n">
        <x:f>参数与事实!E$5</x:f>
        <x:v>10</x:v>
      </x:c>
      <x:c r="E149" s="19" t="n">
        <x:f>D149/(1+参数与事实!$B$5)</x:f>
        <x:v>8.849557522123895</x:v>
      </x:c>
      <x:c r="F149" s="19" t="n">
        <x:f>MAX(参数与事实!$B$8,E149*参数与事实!$B$7-参数与事实!$B$10)</x:f>
        <x:v>5.764601769911506</x:v>
      </x:c>
      <x:c r="G149" s="19" t="n">
        <x:f>参数与事实!I39</x:f>
        <x:v>0</x:v>
      </x:c>
      <x:c r="H149" s="20" t="n">
        <x:f>参数与事实!C39</x:f>
        <x:v>0.73</x:v>
      </x:c>
      <x:c r="I149" s="19" t="n">
        <x:f>参数与事实!E39+参数与事实!$B$9</x:f>
        <x:v>4.2</x:v>
      </x:c>
      <x:c r="J149" s="21" t="n">
        <x:f>参数与事实!F39+参数与事实!L39</x:f>
        <x:v>0.05</x:v>
      </x:c>
      <x:c r="K149" s="21" t="n">
        <x:f>参数与事实!G39</x:f>
        <x:v>0.3</x:v>
      </x:c>
      <x:c r="L149" s="15" t="n">
        <x:f>(F149*(1-J149)-I149)*G149</x:f>
        <x:v>0</x:v>
      </x:c>
      <x:c r="M149" s="15" t="n">
        <x:f>MAX(L149,0)*K149</x:f>
        <x:v>0</x:v>
      </x:c>
      <x:c r="N149" s="22" t="n">
        <x:f>(L149-M149)*H149</x:f>
        <x:v>0</x:v>
      </x:c>
    </x:row>
    <x:row r="150" ht="23" customHeight="1">
      <x:c r="A150" s="2" t="str">
        <x:v>赣锋锂业</x:v>
      </x:c>
      <x:c r="B150" s="2" t="str">
        <x:v>邦巴利</x:v>
      </x:c>
      <x:c r="C150" s="2" t="n">
        <x:v>2027</x:v>
      </x:c>
      <x:c r="D150" s="19" t="n">
        <x:f>参数与事实!F$5</x:f>
        <x:v>15</x:v>
      </x:c>
      <x:c r="E150" s="19" t="n">
        <x:f>D150/(1+参数与事实!$B$5)</x:f>
        <x:v>13.274336283185843</x:v>
      </x:c>
      <x:c r="F150" s="19" t="n">
        <x:f>MAX(参数与事实!$B$8,E150*参数与事实!$B$7-参数与事实!$B$10)</x:f>
        <x:v>9.74690265486726</x:v>
      </x:c>
      <x:c r="G150" s="19" t="n">
        <x:f>参数与事实!I39</x:f>
        <x:v>0</x:v>
      </x:c>
      <x:c r="H150" s="20" t="n">
        <x:f>参数与事实!C39</x:f>
        <x:v>0.73</x:v>
      </x:c>
      <x:c r="I150" s="19" t="n">
        <x:f>参数与事实!E39+参数与事实!$B$9</x:f>
        <x:v>4.2</x:v>
      </x:c>
      <x:c r="J150" s="21" t="n">
        <x:f>参数与事实!F39+参数与事实!L39</x:f>
        <x:v>0.05</x:v>
      </x:c>
      <x:c r="K150" s="21" t="n">
        <x:f>参数与事实!G39</x:f>
        <x:v>0.3</x:v>
      </x:c>
      <x:c r="L150" s="15" t="n">
        <x:f>(F150*(1-J150)-I150)*G150</x:f>
        <x:v>0</x:v>
      </x:c>
      <x:c r="M150" s="15" t="n">
        <x:f>MAX(L150,0)*K150</x:f>
        <x:v>0</x:v>
      </x:c>
      <x:c r="N150" s="22" t="n">
        <x:f>(L150-M150)*H150</x:f>
        <x:v>0</x:v>
      </x:c>
    </x:row>
    <x:row r="151" ht="23" customHeight="1">
      <x:c r="A151" s="2" t="str">
        <x:v>赣锋锂业</x:v>
      </x:c>
      <x:c r="B151" s="2" t="str">
        <x:v>邦巴利</x:v>
      </x:c>
      <x:c r="C151" s="2" t="n">
        <x:v>2027</x:v>
      </x:c>
      <x:c r="D151" s="19" t="n">
        <x:f>参数与事实!G$5</x:f>
        <x:v>20</x:v>
      </x:c>
      <x:c r="E151" s="19" t="n">
        <x:f>D151/(1+参数与事实!$B$5)</x:f>
        <x:v>17.69911504424779</x:v>
      </x:c>
      <x:c r="F151" s="19" t="n">
        <x:f>MAX(参数与事实!$B$8,E151*参数与事实!$B$7-参数与事实!$B$10)</x:f>
        <x:v>13.729203539823011</x:v>
      </x:c>
      <x:c r="G151" s="19" t="n">
        <x:f>参数与事实!I39</x:f>
        <x:v>0</x:v>
      </x:c>
      <x:c r="H151" s="20" t="n">
        <x:f>参数与事实!C39</x:f>
        <x:v>0.73</x:v>
      </x:c>
      <x:c r="I151" s="19" t="n">
        <x:f>参数与事实!E39+参数与事实!$B$9</x:f>
        <x:v>4.2</x:v>
      </x:c>
      <x:c r="J151" s="21" t="n">
        <x:f>参数与事实!F39+参数与事实!L39</x:f>
        <x:v>0.05</x:v>
      </x:c>
      <x:c r="K151" s="21" t="n">
        <x:f>参数与事实!G39</x:f>
        <x:v>0.3</x:v>
      </x:c>
      <x:c r="L151" s="15" t="n">
        <x:f>(F151*(1-J151)-I151)*G151</x:f>
        <x:v>0</x:v>
      </x:c>
      <x:c r="M151" s="15" t="n">
        <x:f>MAX(L151,0)*K151</x:f>
        <x:v>0</x:v>
      </x:c>
      <x:c r="N151" s="22" t="n">
        <x:f>(L151-M151)*H151</x:f>
        <x:v>0</x:v>
      </x:c>
    </x:row>
    <x:row r="152" ht="23" customHeight="1">
      <x:c r="A152" s="2" t="str">
        <x:v>赣锋锂业</x:v>
      </x:c>
      <x:c r="B152" s="2" t="str">
        <x:v>邦巴利</x:v>
      </x:c>
      <x:c r="C152" s="2" t="n">
        <x:v>2027</x:v>
      </x:c>
      <x:c r="D152" s="19" t="n">
        <x:f>参数与事实!H$5</x:f>
        <x:v>30</x:v>
      </x:c>
      <x:c r="E152" s="19" t="n">
        <x:f>D152/(1+参数与事实!$B$5)</x:f>
        <x:v>26.548672566371685</x:v>
      </x:c>
      <x:c r="F152" s="19" t="n">
        <x:f>MAX(参数与事实!$B$8,E152*参数与事实!$B$7-参数与事实!$B$10)</x:f>
        <x:v>21.69380530973452</x:v>
      </x:c>
      <x:c r="G152" s="19" t="n">
        <x:f>参数与事实!I39</x:f>
        <x:v>0</x:v>
      </x:c>
      <x:c r="H152" s="20" t="n">
        <x:f>参数与事实!C39</x:f>
        <x:v>0.73</x:v>
      </x:c>
      <x:c r="I152" s="19" t="n">
        <x:f>参数与事实!E39+参数与事实!$B$9</x:f>
        <x:v>4.2</x:v>
      </x:c>
      <x:c r="J152" s="21" t="n">
        <x:f>参数与事实!F39+参数与事实!L39</x:f>
        <x:v>0.05</x:v>
      </x:c>
      <x:c r="K152" s="21" t="n">
        <x:f>参数与事实!G39</x:f>
        <x:v>0.3</x:v>
      </x:c>
      <x:c r="L152" s="15" t="n">
        <x:f>(F152*(1-J152)-I152)*G152</x:f>
        <x:v>0</x:v>
      </x:c>
      <x:c r="M152" s="15" t="n">
        <x:f>MAX(L152,0)*K152</x:f>
        <x:v>0</x:v>
      </x:c>
      <x:c r="N152" s="22" t="n">
        <x:f>(L152-M152)*H152</x:f>
        <x:v>0</x:v>
      </x:c>
    </x:row>
    <x:row r="153" ht="23" customHeight="1">
      <x:c r="A153" s="2" t="str">
        <x:v>赣锋锂业</x:v>
      </x:c>
      <x:c r="B153" s="2" t="str">
        <x:v>邦巴利</x:v>
      </x:c>
      <x:c r="C153" s="2" t="n">
        <x:v>2028</x:v>
      </x:c>
      <x:c r="D153" s="19" t="n">
        <x:f>参数与事实!E$5</x:f>
        <x:v>10</x:v>
      </x:c>
      <x:c r="E153" s="19" t="n">
        <x:f>D153/(1+参数与事实!$B$5)</x:f>
        <x:v>8.849557522123895</x:v>
      </x:c>
      <x:c r="F153" s="19" t="n">
        <x:f>MAX(参数与事实!$B$8,E153*参数与事实!$B$7-参数与事实!$B$10)</x:f>
        <x:v>5.764601769911506</x:v>
      </x:c>
      <x:c r="G153" s="19" t="n">
        <x:f>参数与事实!J39</x:f>
        <x:v>0.6</x:v>
      </x:c>
      <x:c r="H153" s="20" t="n">
        <x:f>参数与事实!C39</x:f>
        <x:v>0.73</x:v>
      </x:c>
      <x:c r="I153" s="19" t="n">
        <x:f>参数与事实!E39+参数与事实!$B$9</x:f>
        <x:v>4.2</x:v>
      </x:c>
      <x:c r="J153" s="21" t="n">
        <x:f>参数与事实!F39+参数与事实!M39</x:f>
        <x:v>0.05</x:v>
      </x:c>
      <x:c r="K153" s="21" t="n">
        <x:f>参数与事实!G39</x:f>
        <x:v>0.3</x:v>
      </x:c>
      <x:c r="L153" s="15" t="n">
        <x:f>(F153*(1-J153)-I153)*G153</x:f>
        <x:v>0.765823008849558</x:v>
      </x:c>
      <x:c r="M153" s="15" t="n">
        <x:f>MAX(L153,0)*K153</x:f>
        <x:v>0.22974690265486739</x:v>
      </x:c>
      <x:c r="N153" s="22" t="n">
        <x:f>(L153-M153)*H153</x:f>
        <x:v>0.3913355575221241</x:v>
      </x:c>
    </x:row>
    <x:row r="154" ht="23" customHeight="1">
      <x:c r="A154" s="2" t="str">
        <x:v>赣锋锂业</x:v>
      </x:c>
      <x:c r="B154" s="2" t="str">
        <x:v>邦巴利</x:v>
      </x:c>
      <x:c r="C154" s="2" t="n">
        <x:v>2028</x:v>
      </x:c>
      <x:c r="D154" s="19" t="n">
        <x:f>参数与事实!F$5</x:f>
        <x:v>15</x:v>
      </x:c>
      <x:c r="E154" s="19" t="n">
        <x:f>D154/(1+参数与事实!$B$5)</x:f>
        <x:v>13.274336283185843</x:v>
      </x:c>
      <x:c r="F154" s="19" t="n">
        <x:f>MAX(参数与事实!$B$8,E154*参数与事实!$B$7-参数与事实!$B$10)</x:f>
        <x:v>9.74690265486726</x:v>
      </x:c>
      <x:c r="G154" s="19" t="n">
        <x:f>参数与事实!J39</x:f>
        <x:v>0.6</x:v>
      </x:c>
      <x:c r="H154" s="20" t="n">
        <x:f>参数与事实!C39</x:f>
        <x:v>0.73</x:v>
      </x:c>
      <x:c r="I154" s="19" t="n">
        <x:f>参数与事实!E39+参数与事实!$B$9</x:f>
        <x:v>4.2</x:v>
      </x:c>
      <x:c r="J154" s="21" t="n">
        <x:f>参数与事实!F39+参数与事实!M39</x:f>
        <x:v>0.05</x:v>
      </x:c>
      <x:c r="K154" s="21" t="n">
        <x:f>参数与事实!G39</x:f>
        <x:v>0.3</x:v>
      </x:c>
      <x:c r="L154" s="15" t="n">
        <x:f>(F154*(1-J154)-I154)*G154</x:f>
        <x:v>3.035734513274337</x:v>
      </x:c>
      <x:c r="M154" s="15" t="n">
        <x:f>MAX(L154,0)*K154</x:f>
        <x:v>0.910720353982301</x:v>
      </x:c>
      <x:c r="N154" s="22" t="n">
        <x:f>(L154-M154)*H154</x:f>
        <x:v>1.551260336283186</x:v>
      </x:c>
    </x:row>
    <x:row r="155" ht="23" customHeight="1">
      <x:c r="A155" s="2" t="str">
        <x:v>赣锋锂业</x:v>
      </x:c>
      <x:c r="B155" s="2" t="str">
        <x:v>邦巴利</x:v>
      </x:c>
      <x:c r="C155" s="2" t="n">
        <x:v>2028</x:v>
      </x:c>
      <x:c r="D155" s="19" t="n">
        <x:f>参数与事实!G$5</x:f>
        <x:v>20</x:v>
      </x:c>
      <x:c r="E155" s="19" t="n">
        <x:f>D155/(1+参数与事实!$B$5)</x:f>
        <x:v>17.69911504424779</x:v>
      </x:c>
      <x:c r="F155" s="19" t="n">
        <x:f>MAX(参数与事实!$B$8,E155*参数与事实!$B$7-参数与事实!$B$10)</x:f>
        <x:v>13.729203539823011</x:v>
      </x:c>
      <x:c r="G155" s="19" t="n">
        <x:f>参数与事实!J39</x:f>
        <x:v>0.6</x:v>
      </x:c>
      <x:c r="H155" s="20" t="n">
        <x:f>参数与事实!C39</x:f>
        <x:v>0.73</x:v>
      </x:c>
      <x:c r="I155" s="19" t="n">
        <x:f>参数与事实!E39+参数与事实!$B$9</x:f>
        <x:v>4.2</x:v>
      </x:c>
      <x:c r="J155" s="21" t="n">
        <x:f>参数与事实!F39+参数与事实!M39</x:f>
        <x:v>0.05</x:v>
      </x:c>
      <x:c r="K155" s="21" t="n">
        <x:f>参数与事实!G39</x:f>
        <x:v>0.3</x:v>
      </x:c>
      <x:c r="L155" s="15" t="n">
        <x:f>(F155*(1-J155)-I155)*G155</x:f>
        <x:v>5.305646017699116</x:v>
      </x:c>
      <x:c r="M155" s="15" t="n">
        <x:f>MAX(L155,0)*K155</x:f>
        <x:v>1.591693805309735</x:v>
      </x:c>
      <x:c r="N155" s="22" t="n">
        <x:f>(L155-M155)*H155</x:f>
        <x:v>2.7111851150442483</x:v>
      </x:c>
    </x:row>
    <x:row r="156" ht="23" customHeight="1">
      <x:c r="A156" s="2" t="str">
        <x:v>赣锋锂业</x:v>
      </x:c>
      <x:c r="B156" s="2" t="str">
        <x:v>邦巴利</x:v>
      </x:c>
      <x:c r="C156" s="2" t="n">
        <x:v>2028</x:v>
      </x:c>
      <x:c r="D156" s="19" t="n">
        <x:f>参数与事实!H$5</x:f>
        <x:v>30</x:v>
      </x:c>
      <x:c r="E156" s="19" t="n">
        <x:f>D156/(1+参数与事实!$B$5)</x:f>
        <x:v>26.548672566371685</x:v>
      </x:c>
      <x:c r="F156" s="19" t="n">
        <x:f>MAX(参数与事实!$B$8,E156*参数与事实!$B$7-参数与事实!$B$10)</x:f>
        <x:v>21.69380530973452</x:v>
      </x:c>
      <x:c r="G156" s="19" t="n">
        <x:f>参数与事实!J39</x:f>
        <x:v>0.6</x:v>
      </x:c>
      <x:c r="H156" s="20" t="n">
        <x:f>参数与事实!C39</x:f>
        <x:v>0.73</x:v>
      </x:c>
      <x:c r="I156" s="19" t="n">
        <x:f>参数与事实!E39+参数与事实!$B$9</x:f>
        <x:v>4.2</x:v>
      </x:c>
      <x:c r="J156" s="21" t="n">
        <x:f>参数与事实!F39+参数与事实!M39</x:f>
        <x:v>0.05</x:v>
      </x:c>
      <x:c r="K156" s="21" t="n">
        <x:f>参数与事实!G39</x:f>
        <x:v>0.3</x:v>
      </x:c>
      <x:c r="L156" s="15" t="n">
        <x:f>(F156*(1-J156)-I156)*G156</x:f>
        <x:v>9.845469026548674</x:v>
      </x:c>
      <x:c r="M156" s="15" t="n">
        <x:f>MAX(L156,0)*K156</x:f>
        <x:v>2.953640707964602</x:v>
      </x:c>
      <x:c r="N156" s="22" t="n">
        <x:f>(L156-M156)*H156</x:f>
        <x:v>5.031034672566372</x:v>
      </x:c>
    </x:row>
    <x:row r="157" ht="23" customHeight="1">
      <x:c r="A157" s="2" t="str">
        <x:v>赣锋锂业</x:v>
      </x:c>
      <x:c r="B157" s="2" t="str">
        <x:v>邦巴利</x:v>
      </x:c>
      <x:c r="C157" s="2" t="n">
        <x:v>2029</x:v>
      </x:c>
      <x:c r="D157" s="19" t="n">
        <x:f>参数与事实!E$5</x:f>
        <x:v>10</x:v>
      </x:c>
      <x:c r="E157" s="19" t="n">
        <x:f>D157/(1+参数与事实!$B$5)</x:f>
        <x:v>8.849557522123895</x:v>
      </x:c>
      <x:c r="F157" s="19" t="n">
        <x:f>MAX(参数与事实!$B$8,E157*参数与事实!$B$7-参数与事实!$B$10)</x:f>
        <x:v>5.764601769911506</x:v>
      </x:c>
      <x:c r="G157" s="19" t="n">
        <x:f>参数与事实!K39</x:f>
        <x:v>1.5</x:v>
      </x:c>
      <x:c r="H157" s="20" t="n">
        <x:f>参数与事实!C39</x:f>
        <x:v>0.73</x:v>
      </x:c>
      <x:c r="I157" s="19" t="n">
        <x:f>参数与事实!E39+参数与事实!$B$9</x:f>
        <x:v>4.2</x:v>
      </x:c>
      <x:c r="J157" s="21" t="n">
        <x:f>参数与事实!F39+参数与事实!N39</x:f>
        <x:v>0.05</x:v>
      </x:c>
      <x:c r="K157" s="21" t="n">
        <x:f>参数与事实!G39</x:f>
        <x:v>0.3</x:v>
      </x:c>
      <x:c r="L157" s="15" t="n">
        <x:f>(F157*(1-J157)-I157)*G157</x:f>
        <x:v>1.914557522123895</x:v>
      </x:c>
      <x:c r="M157" s="15" t="n">
        <x:f>MAX(L157,0)*K157</x:f>
        <x:v>0.5743672566371685</x:v>
      </x:c>
      <x:c r="N157" s="22" t="n">
        <x:f>(L157-M157)*H157</x:f>
        <x:v>0.9783388938053104</x:v>
      </x:c>
    </x:row>
    <x:row r="158" ht="23" customHeight="1">
      <x:c r="A158" s="2" t="str">
        <x:v>赣锋锂业</x:v>
      </x:c>
      <x:c r="B158" s="2" t="str">
        <x:v>邦巴利</x:v>
      </x:c>
      <x:c r="C158" s="2" t="n">
        <x:v>2029</x:v>
      </x:c>
      <x:c r="D158" s="19" t="n">
        <x:f>参数与事实!F$5</x:f>
        <x:v>15</x:v>
      </x:c>
      <x:c r="E158" s="19" t="n">
        <x:f>D158/(1+参数与事实!$B$5)</x:f>
        <x:v>13.274336283185843</x:v>
      </x:c>
      <x:c r="F158" s="19" t="n">
        <x:f>MAX(参数与事实!$B$8,E158*参数与事实!$B$7-参数与事实!$B$10)</x:f>
        <x:v>9.74690265486726</x:v>
      </x:c>
      <x:c r="G158" s="19" t="n">
        <x:f>参数与事实!K39</x:f>
        <x:v>1.5</x:v>
      </x:c>
      <x:c r="H158" s="20" t="n">
        <x:f>参数与事实!C39</x:f>
        <x:v>0.73</x:v>
      </x:c>
      <x:c r="I158" s="19" t="n">
        <x:f>参数与事实!E39+参数与事实!$B$9</x:f>
        <x:v>4.2</x:v>
      </x:c>
      <x:c r="J158" s="21" t="n">
        <x:f>参数与事实!F39+参数与事实!N39</x:f>
        <x:v>0.05</x:v>
      </x:c>
      <x:c r="K158" s="21" t="n">
        <x:f>参数与事实!G39</x:f>
        <x:v>0.3</x:v>
      </x:c>
      <x:c r="L158" s="15" t="n">
        <x:f>(F158*(1-J158)-I158)*G158</x:f>
        <x:v>7.589336283185842</x:v>
      </x:c>
      <x:c r="M158" s="15" t="n">
        <x:f>MAX(L158,0)*K158</x:f>
        <x:v>2.2768008849557524</x:v>
      </x:c>
      <x:c r="N158" s="22" t="n">
        <x:f>(L158-M158)*H158</x:f>
        <x:v>3.8781508407079652</x:v>
      </x:c>
    </x:row>
    <x:row r="159" ht="23" customHeight="1">
      <x:c r="A159" s="2" t="str">
        <x:v>赣锋锂业</x:v>
      </x:c>
      <x:c r="B159" s="2" t="str">
        <x:v>邦巴利</x:v>
      </x:c>
      <x:c r="C159" s="2" t="n">
        <x:v>2029</x:v>
      </x:c>
      <x:c r="D159" s="19" t="n">
        <x:f>参数与事实!G$5</x:f>
        <x:v>20</x:v>
      </x:c>
      <x:c r="E159" s="19" t="n">
        <x:f>D159/(1+参数与事实!$B$5)</x:f>
        <x:v>17.69911504424779</x:v>
      </x:c>
      <x:c r="F159" s="19" t="n">
        <x:f>MAX(参数与事实!$B$8,E159*参数与事实!$B$7-参数与事实!$B$10)</x:f>
        <x:v>13.729203539823011</x:v>
      </x:c>
      <x:c r="G159" s="19" t="n">
        <x:f>参数与事实!K39</x:f>
        <x:v>1.5</x:v>
      </x:c>
      <x:c r="H159" s="20" t="n">
        <x:f>参数与事实!C39</x:f>
        <x:v>0.73</x:v>
      </x:c>
      <x:c r="I159" s="19" t="n">
        <x:f>参数与事实!E39+参数与事实!$B$9</x:f>
        <x:v>4.2</x:v>
      </x:c>
      <x:c r="J159" s="21" t="n">
        <x:f>参数与事实!F39+参数与事实!N39</x:f>
        <x:v>0.05</x:v>
      </x:c>
      <x:c r="K159" s="21" t="n">
        <x:f>参数与事实!G39</x:f>
        <x:v>0.3</x:v>
      </x:c>
      <x:c r="L159" s="15" t="n">
        <x:f>(F159*(1-J159)-I159)*G159</x:f>
        <x:v>13.264115044247792</x:v>
      </x:c>
      <x:c r="M159" s="15" t="n">
        <x:f>MAX(L159,0)*K159</x:f>
        <x:v>3.979234513274337</x:v>
      </x:c>
      <x:c r="N159" s="22" t="n">
        <x:f>(L159-M159)*H159</x:f>
        <x:v>6.777962787610622</x:v>
      </x:c>
    </x:row>
    <x:row r="160" ht="23" customHeight="1">
      <x:c r="A160" s="2" t="str">
        <x:v>赣锋锂业</x:v>
      </x:c>
      <x:c r="B160" s="2" t="str">
        <x:v>邦巴利</x:v>
      </x:c>
      <x:c r="C160" s="2" t="n">
        <x:v>2029</x:v>
      </x:c>
      <x:c r="D160" s="19" t="n">
        <x:f>参数与事实!H$5</x:f>
        <x:v>30</x:v>
      </x:c>
      <x:c r="E160" s="19" t="n">
        <x:f>D160/(1+参数与事实!$B$5)</x:f>
        <x:v>26.548672566371685</x:v>
      </x:c>
      <x:c r="F160" s="19" t="n">
        <x:f>MAX(参数与事实!$B$8,E160*参数与事实!$B$7-参数与事实!$B$10)</x:f>
        <x:v>21.69380530973452</x:v>
      </x:c>
      <x:c r="G160" s="19" t="n">
        <x:f>参数与事实!K39</x:f>
        <x:v>1.5</x:v>
      </x:c>
      <x:c r="H160" s="20" t="n">
        <x:f>参数与事实!C39</x:f>
        <x:v>0.73</x:v>
      </x:c>
      <x:c r="I160" s="19" t="n">
        <x:f>参数与事实!E39+参数与事实!$B$9</x:f>
        <x:v>4.2</x:v>
      </x:c>
      <x:c r="J160" s="21" t="n">
        <x:f>参数与事实!F39+参数与事实!N39</x:f>
        <x:v>0.05</x:v>
      </x:c>
      <x:c r="K160" s="21" t="n">
        <x:f>参数与事实!G39</x:f>
        <x:v>0.3</x:v>
      </x:c>
      <x:c r="L160" s="15" t="n">
        <x:f>(F160*(1-J160)-I160)*G160</x:f>
        <x:v>24.613672566371687</x:v>
      </x:c>
      <x:c r="M160" s="15" t="n">
        <x:f>MAX(L160,0)*K160</x:f>
        <x:v>7.3841017699115055</x:v>
      </x:c>
      <x:c r="N160" s="22" t="n">
        <x:f>(L160-M160)*H160</x:f>
        <x:v>12.577586681415932</x:v>
      </x:c>
    </x:row>
  </x:sheetData>
  <x:mergeCells>
    <x:mergeCell ref="A1:N2"/>
    <x:mergeCell ref="A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3" customHeight="1">
      <x:c r="A1" s="4" t="str">
        <x:v>归母利润：上游＋炼化＋其他业务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3" customHeight="1">
      <x:c r="A3" s="2" t="str">
        <x:v>集团利润拆解，避免把13万吨锂盐全部套用低成本自产矿；矿端和炼化端合计时，内部原料价不重复创造收入。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4" customHeight="1">
      <x:c r="A4" s="7" t="str">
        <x:v>公司</x:v>
      </x:c>
      <x:c r="B4" s="7" t="str">
        <x:v>年度</x:v>
      </x:c>
      <x:c r="C4" s="7" t="str">
        <x:v>含税锂价</x:v>
      </x:c>
      <x:c r="D4" s="7" t="str">
        <x:v>净锂价</x:v>
      </x:c>
      <x:c r="E4" s="7" t="str">
        <x:v>原料市场成本</x:v>
      </x:c>
      <x:c r="F4" s="7" t="str">
        <x:v>实现价</x:v>
      </x:c>
      <x:c r="G4" s="7" t="str">
        <x:v>加工费</x:v>
      </x:c>
      <x:c r="H4" s="7" t="str">
        <x:v>炼化销量</x:v>
      </x:c>
      <x:c r="I4" s="7" t="str">
        <x:v>炼化归母比例</x:v>
      </x:c>
      <x:c r="J4" s="7" t="str">
        <x:v>期间费用</x:v>
      </x:c>
      <x:c r="K4" s="7" t="str">
        <x:v>炼化税前</x:v>
      </x:c>
      <x:c r="L4" s="7" t="str">
        <x:v>炼化所得税</x:v>
      </x:c>
      <x:c r="M4" s="7" t="str">
        <x:v>矿端归母</x:v>
      </x:c>
      <x:c r="N4" s="7" t="str">
        <x:v>其他归母</x:v>
      </x:c>
      <x:c r="O4" s="7" t="str">
        <x:v>总归母</x:v>
      </x:c>
    </x:row>
    <x:row r="5" ht="23" customHeight="1">
      <x:c r="A5" s="2" t="str">
        <x:v>雅化集团</x:v>
      </x:c>
      <x:c r="B5" s="2" t="n">
        <x:v>2027</x:v>
      </x:c>
      <x:c r="C5" s="19" t="n">
        <x:f>参数与事实!E$5</x:f>
        <x:v>10</x:v>
      </x:c>
      <x:c r="D5" s="19" t="n">
        <x:f>C5/(1+参数与事实!$B$5)</x:f>
        <x:v>8.849557522123895</x:v>
      </x:c>
      <x:c r="E5" s="19" t="n">
        <x:f>MAX(参数与事实!$B$8,D5*参数与事实!$B$7-参数与事实!$B$10)</x:f>
        <x:v>5.764601769911506</x:v>
      </x:c>
      <x:c r="F5" s="19" t="n">
        <x:f>D5*参数与事实!F15</x:f>
        <x:v>8.4070796460177</x:v>
      </x:c>
      <x:c r="G5" s="19" t="n">
        <x:f>参数与事实!$B$10</x:f>
        <x:v>2.2</x:v>
      </x:c>
      <x:c r="H5" s="19" t="n">
        <x:f>参数与事实!C15</x:f>
        <x:v>9.5</x:v>
      </x:c>
      <x:c r="I5" s="21" t="n">
        <x:f>参数与事实!G15</x:f>
        <x:v>0.95</x:v>
      </x:c>
      <x:c r="J5" s="19" t="n">
        <x:f>参数与事实!D15</x:f>
        <x:v>4.5</x:v>
      </x:c>
      <x:c r="K5" s="15" t="n">
        <x:f>(F5-E5-G5)*H5*I5-J5</x:f>
        <x:v>-0.5066371681416064</x:v>
      </x:c>
      <x:c r="L5" s="15" t="n">
        <x:f>MAX(K5,0)*参数与事实!H15</x:f>
        <x:v>0</x:v>
      </x:c>
      <x:c r="M5" s="19" t="n">
        <x:f>SUMIFS(项目利润!$N$5:$N$160,项目利润!$A$5:$A$160,A5,项目利润!$C$5:$C$160,B5,项目利润!$D$5:$D$160,C5)</x:f>
        <x:v>3.810118513108409</x:v>
      </x:c>
      <x:c r="N5" s="19" t="n">
        <x:f>参数与事实!E15</x:f>
        <x:v>4</x:v>
      </x:c>
      <x:c r="O5" s="22" t="n">
        <x:f>SUM(K5,M5,N5)-L5</x:f>
        <x:v>7.303481344966803</x:v>
      </x:c>
    </x:row>
    <x:row r="6" ht="23" customHeight="1">
      <x:c r="A6" s="2" t="str">
        <x:v>雅化集团</x:v>
      </x:c>
      <x:c r="B6" s="2" t="n">
        <x:v>2027</x:v>
      </x:c>
      <x:c r="C6" s="19" t="n">
        <x:f>参数与事实!F$5</x:f>
        <x:v>15</x:v>
      </x:c>
      <x:c r="D6" s="19" t="n">
        <x:f>C6/(1+参数与事实!$B$5)</x:f>
        <x:v>13.274336283185843</x:v>
      </x:c>
      <x:c r="E6" s="19" t="n">
        <x:f>MAX(参数与事实!$B$8,D6*参数与事实!$B$7-参数与事实!$B$10)</x:f>
        <x:v>9.74690265486726</x:v>
      </x:c>
      <x:c r="F6" s="19" t="n">
        <x:f>D6*参数与事实!F15</x:f>
        <x:v>12.61061946902655</x:v>
      </x:c>
      <x:c r="G6" s="19" t="n">
        <x:f>参数与事实!$B$10</x:f>
        <x:v>2.2</x:v>
      </x:c>
      <x:c r="H6" s="19" t="n">
        <x:f>参数与事实!C15</x:f>
        <x:v>9.5</x:v>
      </x:c>
      <x:c r="I6" s="21" t="n">
        <x:f>参数与事实!G15</x:f>
        <x:v>0.95</x:v>
      </x:c>
      <x:c r="J6" s="19" t="n">
        <x:f>参数与事实!D15</x:f>
        <x:v>4.5</x:v>
      </x:c>
      <x:c r="K6" s="15" t="n">
        <x:f>(F6-E6-G6)*H6*I6-J6</x:f>
        <x:v>1.4900442477876021</x:v>
      </x:c>
      <x:c r="L6" s="15" t="n">
        <x:f>MAX(K6,0)*参数与事实!H15</x:f>
        <x:v>0.22350663716814032</x:v>
      </x:c>
      <x:c r="M6" s="19" t="n">
        <x:f>SUMIFS(项目利润!$N$5:$N$160,项目利润!$A$5:$A$160,A6,项目利润!$C$5:$C$160,B6,项目利润!$D$5:$D$160,C6)</x:f>
        <x:v>10.959976491537617</x:v>
      </x:c>
      <x:c r="N6" s="19" t="n">
        <x:f>参数与事实!E15</x:f>
        <x:v>4</x:v>
      </x:c>
      <x:c r="O6" s="22" t="n">
        <x:f>SUM(K6,M6,N6)-L6</x:f>
        <x:v>16.22651410215708</x:v>
      </x:c>
    </x:row>
    <x:row r="7" ht="23" customHeight="1">
      <x:c r="A7" s="2" t="str">
        <x:v>雅化集团</x:v>
      </x:c>
      <x:c r="B7" s="2" t="n">
        <x:v>2027</x:v>
      </x:c>
      <x:c r="C7" s="19" t="n">
        <x:f>参数与事实!G$5</x:f>
        <x:v>20</x:v>
      </x:c>
      <x:c r="D7" s="19" t="n">
        <x:f>C7/(1+参数与事实!$B$5)</x:f>
        <x:v>17.69911504424779</x:v>
      </x:c>
      <x:c r="E7" s="19" t="n">
        <x:f>MAX(参数与事实!$B$8,D7*参数与事实!$B$7-参数与事实!$B$10)</x:f>
        <x:v>13.729203539823011</x:v>
      </x:c>
      <x:c r="F7" s="19" t="n">
        <x:f>D7*参数与事实!F15</x:f>
        <x:v>16.8141592920354</x:v>
      </x:c>
      <x:c r="G7" s="19" t="n">
        <x:f>参数与事实!$B$10</x:f>
        <x:v>2.2</x:v>
      </x:c>
      <x:c r="H7" s="19" t="n">
        <x:f>参数与事实!C15</x:f>
        <x:v>9.5</x:v>
      </x:c>
      <x:c r="I7" s="21" t="n">
        <x:f>参数与事实!G15</x:f>
        <x:v>0.95</x:v>
      </x:c>
      <x:c r="J7" s="19" t="n">
        <x:f>参数与事实!D15</x:f>
        <x:v>4.5</x:v>
      </x:c>
      <x:c r="K7" s="15" t="n">
        <x:f>(F7-E7-G7)*H7*I7-J7</x:f>
        <x:v>3.4867256637167934</x:v>
      </x:c>
      <x:c r="L7" s="15" t="n">
        <x:f>MAX(K7,0)*参数与事实!H15</x:f>
        <x:v>0.523008849557519</x:v>
      </x:c>
      <x:c r="M7" s="19" t="n">
        <x:f>SUMIFS(项目利润!$N$5:$N$160,项目利润!$A$5:$A$160,A7,项目利润!$C$5:$C$160,B7,项目利润!$D$5:$D$160,C7)</x:f>
        <x:v>18.109834469966817</x:v>
      </x:c>
      <x:c r="N7" s="19" t="n">
        <x:f>参数与事实!E15</x:f>
        <x:v>4</x:v>
      </x:c>
      <x:c r="O7" s="22" t="n">
        <x:f>SUM(K7,M7,N7)-L7</x:f>
        <x:v>25.07355128412609</x:v>
      </x:c>
    </x:row>
    <x:row r="8" ht="23" customHeight="1">
      <x:c r="A8" s="2" t="str">
        <x:v>雅化集团</x:v>
      </x:c>
      <x:c r="B8" s="2" t="n">
        <x:v>2027</x:v>
      </x:c>
      <x:c r="C8" s="19" t="n">
        <x:f>参数与事实!H$5</x:f>
        <x:v>30</x:v>
      </x:c>
      <x:c r="D8" s="19" t="n">
        <x:f>C8/(1+参数与事实!$B$5)</x:f>
        <x:v>26.548672566371685</x:v>
      </x:c>
      <x:c r="E8" s="19" t="n">
        <x:f>MAX(参数与事实!$B$8,D8*参数与事实!$B$7-参数与事实!$B$10)</x:f>
        <x:v>21.69380530973452</x:v>
      </x:c>
      <x:c r="F8" s="19" t="n">
        <x:f>D8*参数与事实!F15</x:f>
        <x:v>25.2212389380531</x:v>
      </x:c>
      <x:c r="G8" s="19" t="n">
        <x:f>参数与事实!$B$10</x:f>
        <x:v>2.2</x:v>
      </x:c>
      <x:c r="H8" s="19" t="n">
        <x:f>参数与事实!C15</x:f>
        <x:v>9.5</x:v>
      </x:c>
      <x:c r="I8" s="21" t="n">
        <x:f>参数与事实!G15</x:f>
        <x:v>0.95</x:v>
      </x:c>
      <x:c r="J8" s="19" t="n">
        <x:f>参数与事实!D15</x:f>
        <x:v>4.5</x:v>
      </x:c>
      <x:c r="K8" s="15" t="n">
        <x:f>(F8-E8-G8)*H8*I8-J8</x:f>
        <x:v>7.480088495575211</x:v>
      </x:c>
      <x:c r="L8" s="15" t="n">
        <x:f>MAX(K8,0)*参数与事实!H15</x:f>
        <x:v>1.1220132743362816</x:v>
      </x:c>
      <x:c r="M8" s="19" t="n">
        <x:f>SUMIFS(项目利润!$N$5:$N$160,项目利润!$A$5:$A$160,A8,项目利润!$C$5:$C$160,B8,项目利润!$D$5:$D$160,C8)</x:f>
        <x:v>32.409550426825234</x:v>
      </x:c>
      <x:c r="N8" s="19" t="n">
        <x:f>参数与事实!E15</x:f>
        <x:v>4</x:v>
      </x:c>
      <x:c r="O8" s="22" t="n">
        <x:f>SUM(K8,M8,N8)-L8</x:f>
        <x:v>42.76762564806416</x:v>
      </x:c>
    </x:row>
    <x:row r="9" ht="23" customHeight="1">
      <x:c r="A9" s="2" t="str">
        <x:v>雅化集团</x:v>
      </x:c>
      <x:c r="B9" s="2" t="n">
        <x:v>2028</x:v>
      </x:c>
      <x:c r="C9" s="19" t="n">
        <x:f>参数与事实!E$5</x:f>
        <x:v>10</x:v>
      </x:c>
      <x:c r="D9" s="19" t="n">
        <x:f>C9/(1+参数与事实!$B$5)</x:f>
        <x:v>8.849557522123895</x:v>
      </x:c>
      <x:c r="E9" s="19" t="n">
        <x:f>MAX(参数与事实!$B$8,D9*参数与事实!$B$7-参数与事实!$B$10)</x:f>
        <x:v>5.764601769911506</x:v>
      </x:c>
      <x:c r="F9" s="19" t="n">
        <x:f>D9*参数与事实!F16</x:f>
        <x:v>8.4070796460177</x:v>
      </x:c>
      <x:c r="G9" s="19" t="n">
        <x:f>参数与事实!$B$10</x:f>
        <x:v>2.2</x:v>
      </x:c>
      <x:c r="H9" s="19" t="n">
        <x:f>参数与事实!C16</x:f>
        <x:v>10</x:v>
      </x:c>
      <x:c r="I9" s="21" t="n">
        <x:f>参数与事实!G16</x:f>
        <x:v>0.95</x:v>
      </x:c>
      <x:c r="J9" s="19" t="n">
        <x:f>参数与事实!D16</x:f>
        <x:v>4.6</x:v>
      </x:c>
      <x:c r="K9" s="15" t="n">
        <x:f>(F9-E9-G9)*H9*I9-J9</x:f>
        <x:v>-0.3964601769911651</x:v>
      </x:c>
      <x:c r="L9" s="15" t="n">
        <x:f>MAX(K9,0)*参数与事实!H16</x:f>
        <x:v>0</x:v>
      </x:c>
      <x:c r="M9" s="19" t="n">
        <x:f>SUMIFS(项目利润!$N$5:$N$160,项目利润!$A$5:$A$160,A9,项目利润!$C$5:$C$160,B9,项目利润!$D$5:$D$160,C9)</x:f>
        <x:v>4.763799468853709</x:v>
      </x:c>
      <x:c r="N9" s="19" t="n">
        <x:f>参数与事实!E16</x:f>
        <x:v>4.2</x:v>
      </x:c>
      <x:c r="O9" s="22" t="n">
        <x:f>SUM(K9,M9,N9)-L9</x:f>
        <x:v>8.567339291862545</x:v>
      </x:c>
    </x:row>
    <x:row r="10" ht="23" customHeight="1">
      <x:c r="A10" s="2" t="str">
        <x:v>雅化集团</x:v>
      </x:c>
      <x:c r="B10" s="2" t="n">
        <x:v>2028</x:v>
      </x:c>
      <x:c r="C10" s="19" t="n">
        <x:f>参数与事实!F$5</x:f>
        <x:v>15</x:v>
      </x:c>
      <x:c r="D10" s="19" t="n">
        <x:f>C10/(1+参数与事实!$B$5)</x:f>
        <x:v>13.274336283185843</x:v>
      </x:c>
      <x:c r="E10" s="19" t="n">
        <x:f>MAX(参数与事实!$B$8,D10*参数与事实!$B$7-参数与事实!$B$10)</x:f>
        <x:v>9.74690265486726</x:v>
      </x:c>
      <x:c r="F10" s="19" t="n">
        <x:f>D10*参数与事实!F16</x:f>
        <x:v>12.61061946902655</x:v>
      </x:c>
      <x:c r="G10" s="19" t="n">
        <x:f>参数与事实!$B$10</x:f>
        <x:v>2.2</x:v>
      </x:c>
      <x:c r="H10" s="19" t="n">
        <x:f>参数与事实!C16</x:f>
        <x:v>10</x:v>
      </x:c>
      <x:c r="I10" s="21" t="n">
        <x:f>参数与事实!G16</x:f>
        <x:v>0.95</x:v>
      </x:c>
      <x:c r="J10" s="19" t="n">
        <x:f>参数与事实!D16</x:f>
        <x:v>4.6</x:v>
      </x:c>
      <x:c r="K10" s="15" t="n">
        <x:f>(F10-E10-G10)*H10*I10-J10</x:f>
        <x:v>1.705309734513265</x:v>
      </x:c>
      <x:c r="L10" s="15" t="n">
        <x:f>MAX(K10,0)*参数与事实!H16</x:f>
        <x:v>0.25579646017698976</x:v>
      </x:c>
      <x:c r="M10" s="19" t="n">
        <x:f>SUMIFS(项目利润!$N$5:$N$160,项目利润!$A$5:$A$160,A10,项目利润!$C$5:$C$160,B10,项目利润!$D$5:$D$160,C10)</x:f>
        <x:v>13.128891205233693</x:v>
      </x:c>
      <x:c r="N10" s="19" t="n">
        <x:f>参数与事实!E16</x:f>
        <x:v>4.2</x:v>
      </x:c>
      <x:c r="O10" s="22" t="n">
        <x:f>SUM(K10,M10,N10)-L10</x:f>
        <x:v>18.778404479569968</x:v>
      </x:c>
    </x:row>
    <x:row r="11" ht="23" customHeight="1">
      <x:c r="A11" s="2" t="str">
        <x:v>雅化集团</x:v>
      </x:c>
      <x:c r="B11" s="2" t="n">
        <x:v>2028</x:v>
      </x:c>
      <x:c r="C11" s="19" t="n">
        <x:f>参数与事实!G$5</x:f>
        <x:v>20</x:v>
      </x:c>
      <x:c r="D11" s="19" t="n">
        <x:f>C11/(1+参数与事实!$B$5)</x:f>
        <x:v>17.69911504424779</x:v>
      </x:c>
      <x:c r="E11" s="19" t="n">
        <x:f>MAX(参数与事实!$B$8,D11*参数与事实!$B$7-参数与事实!$B$10)</x:f>
        <x:v>13.729203539823011</x:v>
      </x:c>
      <x:c r="F11" s="19" t="n">
        <x:f>D11*参数与事实!F16</x:f>
        <x:v>16.8141592920354</x:v>
      </x:c>
      <x:c r="G11" s="19" t="n">
        <x:f>参数与事实!$B$10</x:f>
        <x:v>2.2</x:v>
      </x:c>
      <x:c r="H11" s="19" t="n">
        <x:f>参数与事实!C16</x:f>
        <x:v>10</x:v>
      </x:c>
      <x:c r="I11" s="21" t="n">
        <x:f>参数与事实!G16</x:f>
        <x:v>0.95</x:v>
      </x:c>
      <x:c r="J11" s="19" t="n">
        <x:f>参数与事实!D16</x:f>
        <x:v>4.6</x:v>
      </x:c>
      <x:c r="K11" s="15" t="n">
        <x:f>(F11-E11-G11)*H11*I11-J11</x:f>
        <x:v>3.8070796460176783</x:v>
      </x:c>
      <x:c r="L11" s="15" t="n">
        <x:f>MAX(K11,0)*参数与事实!H16</x:f>
        <x:v>0.5710619469026518</x:v>
      </x:c>
      <x:c r="M11" s="19" t="n">
        <x:f>SUMIFS(项目利润!$N$5:$N$160,项目利润!$A$5:$A$160,A11,项目利润!$C$5:$C$160,B11,项目利润!$D$5:$D$160,C11)</x:f>
        <x:v>21.493982941613666</x:v>
      </x:c>
      <x:c r="N11" s="19" t="n">
        <x:f>参数与事实!E16</x:f>
        <x:v>4.2</x:v>
      </x:c>
      <x:c r="O11" s="22" t="n">
        <x:f>SUM(K11,M11,N11)-L11</x:f>
        <x:v>28.93000064072869</x:v>
      </x:c>
    </x:row>
    <x:row r="12" ht="23" customHeight="1">
      <x:c r="A12" s="2" t="str">
        <x:v>雅化集团</x:v>
      </x:c>
      <x:c r="B12" s="2" t="n">
        <x:v>2028</x:v>
      </x:c>
      <x:c r="C12" s="19" t="n">
        <x:f>参数与事实!H$5</x:f>
        <x:v>30</x:v>
      </x:c>
      <x:c r="D12" s="19" t="n">
        <x:f>C12/(1+参数与事实!$B$5)</x:f>
        <x:v>26.548672566371685</x:v>
      </x:c>
      <x:c r="E12" s="19" t="n">
        <x:f>MAX(参数与事实!$B$8,D12*参数与事实!$B$7-参数与事实!$B$10)</x:f>
        <x:v>21.69380530973452</x:v>
      </x:c>
      <x:c r="F12" s="19" t="n">
        <x:f>D12*参数与事实!F16</x:f>
        <x:v>25.2212389380531</x:v>
      </x:c>
      <x:c r="G12" s="19" t="n">
        <x:f>参数与事实!$B$10</x:f>
        <x:v>2.2</x:v>
      </x:c>
      <x:c r="H12" s="19" t="n">
        <x:f>参数与事实!C16</x:f>
        <x:v>10</x:v>
      </x:c>
      <x:c r="I12" s="21" t="n">
        <x:f>参数与事实!G16</x:f>
        <x:v>0.95</x:v>
      </x:c>
      <x:c r="J12" s="19" t="n">
        <x:f>参数与事实!D16</x:f>
        <x:v>4.6</x:v>
      </x:c>
      <x:c r="K12" s="15" t="n">
        <x:f>(F12-E12-G12)*H12*I12-J12</x:f>
        <x:v>8.010619469026539</x:v>
      </x:c>
      <x:c r="L12" s="15" t="n">
        <x:f>MAX(K12,0)*参数与事实!H16</x:f>
        <x:v>1.2015929203539808</x:v>
      </x:c>
      <x:c r="M12" s="19" t="n">
        <x:f>SUMIFS(项目利润!$N$5:$N$160,项目利润!$A$5:$A$160,A12,项目利润!$C$5:$C$160,B12,项目利润!$D$5:$D$160,C12)</x:f>
        <x:v>38.22416641437363</x:v>
      </x:c>
      <x:c r="N12" s="19" t="n">
        <x:f>参数与事实!E16</x:f>
        <x:v>4.2</x:v>
      </x:c>
      <x:c r="O12" s="22" t="n">
        <x:f>SUM(K12,M12,N12)-L12</x:f>
        <x:v>49.233192963046186</x:v>
      </x:c>
    </x:row>
    <x:row r="13" ht="23" customHeight="1">
      <x:c r="A13" s="2" t="str">
        <x:v>雅化集团</x:v>
      </x:c>
      <x:c r="B13" s="2" t="n">
        <x:v>2029</x:v>
      </x:c>
      <x:c r="C13" s="19" t="n">
        <x:f>参数与事实!E$5</x:f>
        <x:v>10</x:v>
      </x:c>
      <x:c r="D13" s="19" t="n">
        <x:f>C13/(1+参数与事实!$B$5)</x:f>
        <x:v>8.849557522123895</x:v>
      </x:c>
      <x:c r="E13" s="19" t="n">
        <x:f>MAX(参数与事实!$B$8,D13*参数与事实!$B$7-参数与事实!$B$10)</x:f>
        <x:v>5.764601769911506</x:v>
      </x:c>
      <x:c r="F13" s="19" t="n">
        <x:f>D13*参数与事实!F17</x:f>
        <x:v>8.4070796460177</x:v>
      </x:c>
      <x:c r="G13" s="19" t="n">
        <x:f>参数与事实!$B$10</x:f>
        <x:v>2.2</x:v>
      </x:c>
      <x:c r="H13" s="19" t="n">
        <x:f>参数与事实!C17</x:f>
        <x:v>10.3</x:v>
      </x:c>
      <x:c r="I13" s="21" t="n">
        <x:f>参数与事实!G17</x:f>
        <x:v>0.95</x:v>
      </x:c>
      <x:c r="J13" s="19" t="n">
        <x:f>参数与事实!D17</x:f>
        <x:v>4.8</x:v>
      </x:c>
      <x:c r="K13" s="15" t="n">
        <x:f>(F13-E13-G13)*H13*I13-J13</x:f>
        <x:v>-0.47035398230089953</x:v>
      </x:c>
      <x:c r="L13" s="15" t="n">
        <x:f>MAX(K13,0)*参数与事实!H17</x:f>
        <x:v>0</x:v>
      </x:c>
      <x:c r="M13" s="19" t="n">
        <x:f>SUMIFS(项目利润!$N$5:$N$160,项目利润!$A$5:$A$160,A13,项目利润!$C$5:$C$160,B13,项目利润!$D$5:$D$160,C13)</x:f>
        <x:v>4.763799468853709</x:v>
      </x:c>
      <x:c r="N13" s="19" t="n">
        <x:f>参数与事实!E17</x:f>
        <x:v>4.4</x:v>
      </x:c>
      <x:c r="O13" s="22" t="n">
        <x:f>SUM(K13,M13,N13)-L13</x:f>
        <x:v>8.693445486552811</x:v>
      </x:c>
    </x:row>
    <x:row r="14" ht="23" customHeight="1">
      <x:c r="A14" s="2" t="str">
        <x:v>雅化集团</x:v>
      </x:c>
      <x:c r="B14" s="2" t="n">
        <x:v>2029</x:v>
      </x:c>
      <x:c r="C14" s="19" t="n">
        <x:f>参数与事实!F$5</x:f>
        <x:v>15</x:v>
      </x:c>
      <x:c r="D14" s="19" t="n">
        <x:f>C14/(1+参数与事实!$B$5)</x:f>
        <x:v>13.274336283185843</x:v>
      </x:c>
      <x:c r="E14" s="19" t="n">
        <x:f>MAX(参数与事实!$B$8,D14*参数与事实!$B$7-参数与事实!$B$10)</x:f>
        <x:v>9.74690265486726</x:v>
      </x:c>
      <x:c r="F14" s="19" t="n">
        <x:f>D14*参数与事实!F17</x:f>
        <x:v>12.61061946902655</x:v>
      </x:c>
      <x:c r="G14" s="19" t="n">
        <x:f>参数与事实!$B$10</x:f>
        <x:v>2.2</x:v>
      </x:c>
      <x:c r="H14" s="19" t="n">
        <x:f>参数与事实!C17</x:f>
        <x:v>10.3</x:v>
      </x:c>
      <x:c r="I14" s="21" t="n">
        <x:f>参数与事实!G17</x:f>
        <x:v>0.95</x:v>
      </x:c>
      <x:c r="J14" s="19" t="n">
        <x:f>参数与事实!D17</x:f>
        <x:v>4.8</x:v>
      </x:c>
      <x:c r="K14" s="15" t="n">
        <x:f>(F14-E14-G14)*H14*I14-J14</x:f>
        <x:v>1.6944690265486635</x:v>
      </x:c>
      <x:c r="L14" s="15" t="n">
        <x:f>MAX(K14,0)*参数与事实!H17</x:f>
        <x:v>0.25417035398229954</x:v>
      </x:c>
      <x:c r="M14" s="19" t="n">
        <x:f>SUMIFS(项目利润!$N$5:$N$160,项目利润!$A$5:$A$160,A14,项目利润!$C$5:$C$160,B14,项目利润!$D$5:$D$160,C14)</x:f>
        <x:v>13.128891205233693</x:v>
      </x:c>
      <x:c r="N14" s="19" t="n">
        <x:f>参数与事实!E17</x:f>
        <x:v>4.4</x:v>
      </x:c>
      <x:c r="O14" s="22" t="n">
        <x:f>SUM(K14,M14,N14)-L14</x:f>
        <x:v>18.96918987780006</x:v>
      </x:c>
    </x:row>
    <x:row r="15" ht="23" customHeight="1">
      <x:c r="A15" s="2" t="str">
        <x:v>雅化集团</x:v>
      </x:c>
      <x:c r="B15" s="2" t="n">
        <x:v>2029</x:v>
      </x:c>
      <x:c r="C15" s="19" t="n">
        <x:f>参数与事实!G$5</x:f>
        <x:v>20</x:v>
      </x:c>
      <x:c r="D15" s="19" t="n">
        <x:f>C15/(1+参数与事实!$B$5)</x:f>
        <x:v>17.69911504424779</x:v>
      </x:c>
      <x:c r="E15" s="19" t="n">
        <x:f>MAX(参数与事实!$B$8,D15*参数与事实!$B$7-参数与事实!$B$10)</x:f>
        <x:v>13.729203539823011</x:v>
      </x:c>
      <x:c r="F15" s="19" t="n">
        <x:f>D15*参数与事实!F17</x:f>
        <x:v>16.8141592920354</x:v>
      </x:c>
      <x:c r="G15" s="19" t="n">
        <x:f>参数与事实!$B$10</x:f>
        <x:v>2.2</x:v>
      </x:c>
      <x:c r="H15" s="19" t="n">
        <x:f>参数与事实!C17</x:f>
        <x:v>10.3</x:v>
      </x:c>
      <x:c r="I15" s="21" t="n">
        <x:f>参数与事实!G17</x:f>
        <x:v>0.95</x:v>
      </x:c>
      <x:c r="J15" s="19" t="n">
        <x:f>参数与事实!D17</x:f>
        <x:v>4.8</x:v>
      </x:c>
      <x:c r="K15" s="15" t="n">
        <x:f>(F15-E15-G15)*H15*I15-J15</x:f>
        <x:v>3.8592920353982096</x:v>
      </x:c>
      <x:c r="L15" s="15" t="n">
        <x:f>MAX(K15,0)*参数与事实!H17</x:f>
        <x:v>0.5788938053097314</x:v>
      </x:c>
      <x:c r="M15" s="19" t="n">
        <x:f>SUMIFS(项目利润!$N$5:$N$160,项目利润!$A$5:$A$160,A15,项目利润!$C$5:$C$160,B15,项目利润!$D$5:$D$160,C15)</x:f>
        <x:v>21.493982941613666</x:v>
      </x:c>
      <x:c r="N15" s="19" t="n">
        <x:f>参数与事实!E17</x:f>
        <x:v>4.4</x:v>
      </x:c>
      <x:c r="O15" s="22" t="n">
        <x:f>SUM(K15,M15,N15)-L15</x:f>
        <x:v>29.174381171702144</x:v>
      </x:c>
    </x:row>
    <x:row r="16" ht="23" customHeight="1">
      <x:c r="A16" s="2" t="str">
        <x:v>雅化集团</x:v>
      </x:c>
      <x:c r="B16" s="2" t="n">
        <x:v>2029</x:v>
      </x:c>
      <x:c r="C16" s="19" t="n">
        <x:f>参数与事实!H$5</x:f>
        <x:v>30</x:v>
      </x:c>
      <x:c r="D16" s="19" t="n">
        <x:f>C16/(1+参数与事实!$B$5)</x:f>
        <x:v>26.548672566371685</x:v>
      </x:c>
      <x:c r="E16" s="19" t="n">
        <x:f>MAX(参数与事实!$B$8,D16*参数与事实!$B$7-参数与事实!$B$10)</x:f>
        <x:v>21.69380530973452</x:v>
      </x:c>
      <x:c r="F16" s="19" t="n">
        <x:f>D16*参数与事实!F17</x:f>
        <x:v>25.2212389380531</x:v>
      </x:c>
      <x:c r="G16" s="19" t="n">
        <x:f>参数与事实!$B$10</x:f>
        <x:v>2.2</x:v>
      </x:c>
      <x:c r="H16" s="19" t="n">
        <x:f>参数与事实!C17</x:f>
        <x:v>10.3</x:v>
      </x:c>
      <x:c r="I16" s="21" t="n">
        <x:f>参数与事实!G17</x:f>
        <x:v>0.95</x:v>
      </x:c>
      <x:c r="J16" s="19" t="n">
        <x:f>参数与事实!D17</x:f>
        <x:v>4.8</x:v>
      </x:c>
      <x:c r="K16" s="15" t="n">
        <x:f>(F16-E16-G16)*H16*I16-J16</x:f>
        <x:v>8.188938053097335</x:v>
      </x:c>
      <x:c r="L16" s="15" t="n">
        <x:f>MAX(K16,0)*参数与事实!H17</x:f>
        <x:v>1.2283407079646003</x:v>
      </x:c>
      <x:c r="M16" s="19" t="n">
        <x:f>SUMIFS(项目利润!$N$5:$N$160,项目利润!$A$5:$A$160,A16,项目利润!$C$5:$C$160,B16,项目利润!$D$5:$D$160,C16)</x:f>
        <x:v>38.22416641437363</x:v>
      </x:c>
      <x:c r="N16" s="19" t="n">
        <x:f>参数与事实!E17</x:f>
        <x:v>4.4</x:v>
      </x:c>
      <x:c r="O16" s="22" t="n">
        <x:f>SUM(K16,M16,N16)-L16</x:f>
        <x:v>49.58476375950636</x:v>
      </x:c>
    </x:row>
    <x:row r="17" ht="23" customHeight="1">
      <x:c r="A17" s="2" t="str">
        <x:v>盛新锂能</x:v>
      </x:c>
      <x:c r="B17" s="2" t="n">
        <x:v>2027</x:v>
      </x:c>
      <x:c r="C17" s="19" t="n">
        <x:f>参数与事实!E$5</x:f>
        <x:v>10</x:v>
      </x:c>
      <x:c r="D17" s="19" t="n">
        <x:f>C17/(1+参数与事实!$B$5)</x:f>
        <x:v>8.849557522123895</x:v>
      </x:c>
      <x:c r="E17" s="19" t="n">
        <x:f>MAX(参数与事实!$B$8,D17*参数与事实!$B$7-参数与事实!$B$10)</x:f>
        <x:v>5.764601769911506</x:v>
      </x:c>
      <x:c r="F17" s="19" t="n">
        <x:f>D17*参数与事实!F18</x:f>
        <x:v>8.4070796460177</x:v>
      </x:c>
      <x:c r="G17" s="19" t="n">
        <x:f>参数与事实!$B$10</x:f>
        <x:v>2.2</x:v>
      </x:c>
      <x:c r="H17" s="19" t="n">
        <x:f>参数与事实!C18</x:f>
        <x:v>10.5</x:v>
      </x:c>
      <x:c r="I17" s="21" t="n">
        <x:f>参数与事实!G18</x:f>
        <x:v>0.92</x:v>
      </x:c>
      <x:c r="J17" s="19" t="n">
        <x:f>参数与事实!D18</x:f>
        <x:v>12</x:v>
      </x:c>
      <x:c r="K17" s="15" t="n">
        <x:f>(F17-E17-G17)*H17*I17-J17</x:f>
        <x:v>-7.725663716814174</x:v>
      </x:c>
      <x:c r="L17" s="15" t="n">
        <x:f>MAX(K17,0)*参数与事实!H18</x:f>
        <x:v>0</x:v>
      </x:c>
      <x:c r="M17" s="19" t="n">
        <x:f>SUMIFS(项目利润!$N$5:$N$160,项目利润!$A$5:$A$160,A17,项目利润!$C$5:$C$160,B17,项目利润!$D$5:$D$160,C17)</x:f>
        <x:v>4.749769646017701</x:v>
      </x:c>
      <x:c r="N17" s="19" t="n">
        <x:f>参数与事实!E18</x:f>
        <x:v>0</x:v>
      </x:c>
      <x:c r="O17" s="22" t="n">
        <x:f>SUM(K17,M17,N17)-L17</x:f>
        <x:v>-2.975894070796473</x:v>
      </x:c>
    </x:row>
    <x:row r="18" ht="23" customHeight="1">
      <x:c r="A18" s="2" t="str">
        <x:v>盛新锂能</x:v>
      </x:c>
      <x:c r="B18" s="2" t="n">
        <x:v>2027</x:v>
      </x:c>
      <x:c r="C18" s="19" t="n">
        <x:f>参数与事实!F$5</x:f>
        <x:v>15</x:v>
      </x:c>
      <x:c r="D18" s="19" t="n">
        <x:f>C18/(1+参数与事实!$B$5)</x:f>
        <x:v>13.274336283185843</x:v>
      </x:c>
      <x:c r="E18" s="19" t="n">
        <x:f>MAX(参数与事实!$B$8,D18*参数与事实!$B$7-参数与事实!$B$10)</x:f>
        <x:v>9.74690265486726</x:v>
      </x:c>
      <x:c r="F18" s="19" t="n">
        <x:f>D18*参数与事实!F18</x:f>
        <x:v>12.61061946902655</x:v>
      </x:c>
      <x:c r="G18" s="19" t="n">
        <x:f>参数与事实!$B$10</x:f>
        <x:v>2.2</x:v>
      </x:c>
      <x:c r="H18" s="19" t="n">
        <x:f>参数与事实!C18</x:f>
        <x:v>10.5</x:v>
      </x:c>
      <x:c r="I18" s="21" t="n">
        <x:f>参数与事实!G18</x:f>
        <x:v>0.92</x:v>
      </x:c>
      <x:c r="J18" s="19" t="n">
        <x:f>参数与事实!D18</x:f>
        <x:v>12</x:v>
      </x:c>
      <x:c r="K18" s="15" t="n">
        <x:f>(F18-E18-G18)*H18*I18-J18</x:f>
        <x:v>-5.588495575221248</x:v>
      </x:c>
      <x:c r="L18" s="15" t="n">
        <x:f>MAX(K18,0)*参数与事实!H18</x:f>
        <x:v>0</x:v>
      </x:c>
      <x:c r="M18" s="19" t="n">
        <x:f>SUMIFS(项目利润!$N$5:$N$160,项目利润!$A$5:$A$160,A18,项目利润!$C$5:$C$160,B18,项目利润!$D$5:$D$160,C18)</x:f>
        <x:v>14.782559469026555</x:v>
      </x:c>
      <x:c r="N18" s="19" t="n">
        <x:f>参数与事实!E18</x:f>
        <x:v>0</x:v>
      </x:c>
      <x:c r="O18" s="22" t="n">
        <x:f>SUM(K18,M18,N18)-L18</x:f>
        <x:v>9.194063893805307</x:v>
      </x:c>
    </x:row>
    <x:row r="19" ht="23" customHeight="1">
      <x:c r="A19" s="2" t="str">
        <x:v>盛新锂能</x:v>
      </x:c>
      <x:c r="B19" s="2" t="n">
        <x:v>2027</x:v>
      </x:c>
      <x:c r="C19" s="19" t="n">
        <x:f>参数与事实!G$5</x:f>
        <x:v>20</x:v>
      </x:c>
      <x:c r="D19" s="19" t="n">
        <x:f>C19/(1+参数与事实!$B$5)</x:f>
        <x:v>17.69911504424779</x:v>
      </x:c>
      <x:c r="E19" s="19" t="n">
        <x:f>MAX(参数与事实!$B$8,D19*参数与事实!$B$7-参数与事实!$B$10)</x:f>
        <x:v>13.729203539823011</x:v>
      </x:c>
      <x:c r="F19" s="19" t="n">
        <x:f>D19*参数与事实!F18</x:f>
        <x:v>16.8141592920354</x:v>
      </x:c>
      <x:c r="G19" s="19" t="n">
        <x:f>参数与事实!$B$10</x:f>
        <x:v>2.2</x:v>
      </x:c>
      <x:c r="H19" s="19" t="n">
        <x:f>参数与事实!C18</x:f>
        <x:v>10.5</x:v>
      </x:c>
      <x:c r="I19" s="21" t="n">
        <x:f>参数与事实!G18</x:f>
        <x:v>0.92</x:v>
      </x:c>
      <x:c r="J19" s="19" t="n">
        <x:f>参数与事实!D18</x:f>
        <x:v>12</x:v>
      </x:c>
      <x:c r="K19" s="15" t="n">
        <x:f>(F19-E19-G19)*H19*I19-J19</x:f>
        <x:v>-3.4513274336283395</x:v>
      </x:c>
      <x:c r="L19" s="15" t="n">
        <x:f>MAX(K19,0)*参数与事实!H18</x:f>
        <x:v>0</x:v>
      </x:c>
      <x:c r="M19" s="19" t="n">
        <x:f>SUMIFS(项目利润!$N$5:$N$160,项目利润!$A$5:$A$160,A19,项目利润!$C$5:$C$160,B19,项目利润!$D$5:$D$160,C19)</x:f>
        <x:v>24.8153492920354</x:v>
      </x:c>
      <x:c r="N19" s="19" t="n">
        <x:f>参数与事实!E18</x:f>
        <x:v>0</x:v>
      </x:c>
      <x:c r="O19" s="22" t="n">
        <x:f>SUM(K19,M19,N19)-L19</x:f>
        <x:v>21.36402185840706</x:v>
      </x:c>
    </x:row>
    <x:row r="20" ht="23" customHeight="1">
      <x:c r="A20" s="2" t="str">
        <x:v>盛新锂能</x:v>
      </x:c>
      <x:c r="B20" s="2" t="n">
        <x:v>2027</x:v>
      </x:c>
      <x:c r="C20" s="19" t="n">
        <x:f>参数与事实!H$5</x:f>
        <x:v>30</x:v>
      </x:c>
      <x:c r="D20" s="19" t="n">
        <x:f>C20/(1+参数与事实!$B$5)</x:f>
        <x:v>26.548672566371685</x:v>
      </x:c>
      <x:c r="E20" s="19" t="n">
        <x:f>MAX(参数与事实!$B$8,D20*参数与事实!$B$7-参数与事实!$B$10)</x:f>
        <x:v>21.69380530973452</x:v>
      </x:c>
      <x:c r="F20" s="19" t="n">
        <x:f>D20*参数与事实!F18</x:f>
        <x:v>25.2212389380531</x:v>
      </x:c>
      <x:c r="G20" s="19" t="n">
        <x:f>参数与事实!$B$10</x:f>
        <x:v>2.2</x:v>
      </x:c>
      <x:c r="H20" s="19" t="n">
        <x:f>参数与事实!C18</x:f>
        <x:v>10.5</x:v>
      </x:c>
      <x:c r="I20" s="21" t="n">
        <x:f>参数与事实!G18</x:f>
        <x:v>0.92</x:v>
      </x:c>
      <x:c r="J20" s="19" t="n">
        <x:f>参数与事实!D18</x:f>
        <x:v>12</x:v>
      </x:c>
      <x:c r="K20" s="15" t="n">
        <x:f>(F20-E20-G20)*H20*I20-J20</x:f>
        <x:v>0.8230088495575139</x:v>
      </x:c>
      <x:c r="L20" s="15" t="n">
        <x:f>MAX(K20,0)*参数与事实!H18</x:f>
        <x:v>0.14814159292035248</x:v>
      </x:c>
      <x:c r="M20" s="19" t="n">
        <x:f>SUMIFS(项目利润!$N$5:$N$160,项目利润!$A$5:$A$160,A20,项目利润!$C$5:$C$160,B20,项目利润!$D$5:$D$160,C20)</x:f>
        <x:v>44.88092893805311</x:v>
      </x:c>
      <x:c r="N20" s="19" t="n">
        <x:f>参数与事实!E18</x:f>
        <x:v>0</x:v>
      </x:c>
      <x:c r="O20" s="22" t="n">
        <x:f>SUM(K20,M20,N20)-L20</x:f>
        <x:v>45.555796194690274</x:v>
      </x:c>
    </x:row>
    <x:row r="21" ht="23" customHeight="1">
      <x:c r="A21" s="2" t="str">
        <x:v>盛新锂能</x:v>
      </x:c>
      <x:c r="B21" s="2" t="n">
        <x:v>2028</x:v>
      </x:c>
      <x:c r="C21" s="19" t="n">
        <x:f>参数与事实!E$5</x:f>
        <x:v>10</x:v>
      </x:c>
      <x:c r="D21" s="19" t="n">
        <x:f>C21/(1+参数与事实!$B$5)</x:f>
        <x:v>8.849557522123895</x:v>
      </x:c>
      <x:c r="E21" s="19" t="n">
        <x:f>MAX(参数与事实!$B$8,D21*参数与事实!$B$7-参数与事实!$B$10)</x:f>
        <x:v>5.764601769911506</x:v>
      </x:c>
      <x:c r="F21" s="19" t="n">
        <x:f>D21*参数与事实!F19</x:f>
        <x:v>8.4070796460177</x:v>
      </x:c>
      <x:c r="G21" s="19" t="n">
        <x:f>参数与事实!$B$10</x:f>
        <x:v>2.2</x:v>
      </x:c>
      <x:c r="H21" s="19" t="n">
        <x:f>参数与事实!C19</x:f>
        <x:v>11</x:v>
      </x:c>
      <x:c r="I21" s="21" t="n">
        <x:f>参数与事实!G19</x:f>
        <x:v>0.92</x:v>
      </x:c>
      <x:c r="J21" s="19" t="n">
        <x:f>参数与事实!D19</x:f>
        <x:v>13</x:v>
      </x:c>
      <x:c r="K21" s="15" t="n">
        <x:f>(F21-E21-G21)*H21*I21-J21</x:f>
        <x:v>-8.522123893805325</x:v>
      </x:c>
      <x:c r="L21" s="15" t="n">
        <x:f>MAX(K21,0)*参数与事实!H19</x:f>
        <x:v>0</x:v>
      </x:c>
      <x:c r="M21" s="19" t="n">
        <x:f>SUMIFS(项目利润!$N$5:$N$160,项目利润!$A$5:$A$160,A21,项目利润!$C$5:$C$160,B21,项目利润!$D$5:$D$160,C21)</x:f>
        <x:v>5.735233706858411</x:v>
      </x:c>
      <x:c r="N21" s="19" t="n">
        <x:f>参数与事实!E19</x:f>
        <x:v>0</x:v>
      </x:c>
      <x:c r="O21" s="22" t="n">
        <x:f>SUM(K21,M21,N21)-L21</x:f>
        <x:v>-2.7868901869469145</x:v>
      </x:c>
    </x:row>
    <x:row r="22" ht="23" customHeight="1">
      <x:c r="A22" s="2" t="str">
        <x:v>盛新锂能</x:v>
      </x:c>
      <x:c r="B22" s="2" t="n">
        <x:v>2028</x:v>
      </x:c>
      <x:c r="C22" s="19" t="n">
        <x:f>参数与事实!F$5</x:f>
        <x:v>15</x:v>
      </x:c>
      <x:c r="D22" s="19" t="n">
        <x:f>C22/(1+参数与事实!$B$5)</x:f>
        <x:v>13.274336283185843</x:v>
      </x:c>
      <x:c r="E22" s="19" t="n">
        <x:f>MAX(参数与事实!$B$8,D22*参数与事实!$B$7-参数与事实!$B$10)</x:f>
        <x:v>9.74690265486726</x:v>
      </x:c>
      <x:c r="F22" s="19" t="n">
        <x:f>D22*参数与事实!F19</x:f>
        <x:v>12.61061946902655</x:v>
      </x:c>
      <x:c r="G22" s="19" t="n">
        <x:f>参数与事实!$B$10</x:f>
        <x:v>2.2</x:v>
      </x:c>
      <x:c r="H22" s="19" t="n">
        <x:f>参数与事实!C19</x:f>
        <x:v>11</x:v>
      </x:c>
      <x:c r="I22" s="21" t="n">
        <x:f>参数与事实!G19</x:f>
        <x:v>0.92</x:v>
      </x:c>
      <x:c r="J22" s="19" t="n">
        <x:f>参数与事实!D19</x:f>
        <x:v>13</x:v>
      </x:c>
      <x:c r="K22" s="15" t="n">
        <x:f>(F22-E22-G22)*H22*I22-J22</x:f>
        <x:v>-6.283185840707974</x:v>
      </x:c>
      <x:c r="L22" s="15" t="n">
        <x:f>MAX(K22,0)*参数与事实!H19</x:f>
        <x:v>0</x:v>
      </x:c>
      <x:c r="M22" s="19" t="n">
        <x:f>SUMIFS(项目利润!$N$5:$N$160,项目利润!$A$5:$A$160,A22,项目利润!$C$5:$C$160,B22,项目利润!$D$5:$D$160,C22)</x:f>
        <x:v>16.87938387278762</x:v>
      </x:c>
      <x:c r="N22" s="19" t="n">
        <x:f>参数与事实!E19</x:f>
        <x:v>0</x:v>
      </x:c>
      <x:c r="O22" s="22" t="n">
        <x:f>SUM(K22,M22,N22)-L22</x:f>
        <x:v>10.596198032079647</x:v>
      </x:c>
    </x:row>
    <x:row r="23" ht="23" customHeight="1">
      <x:c r="A23" s="2" t="str">
        <x:v>盛新锂能</x:v>
      </x:c>
      <x:c r="B23" s="2" t="n">
        <x:v>2028</x:v>
      </x:c>
      <x:c r="C23" s="19" t="n">
        <x:f>参数与事实!G$5</x:f>
        <x:v>20</x:v>
      </x:c>
      <x:c r="D23" s="19" t="n">
        <x:f>C23/(1+参数与事实!$B$5)</x:f>
        <x:v>17.69911504424779</x:v>
      </x:c>
      <x:c r="E23" s="19" t="n">
        <x:f>MAX(参数与事实!$B$8,D23*参数与事实!$B$7-参数与事实!$B$10)</x:f>
        <x:v>13.729203539823011</x:v>
      </x:c>
      <x:c r="F23" s="19" t="n">
        <x:f>D23*参数与事实!F19</x:f>
        <x:v>16.8141592920354</x:v>
      </x:c>
      <x:c r="G23" s="19" t="n">
        <x:f>参数与事实!$B$10</x:f>
        <x:v>2.2</x:v>
      </x:c>
      <x:c r="H23" s="19" t="n">
        <x:f>参数与事实!C19</x:f>
        <x:v>11</x:v>
      </x:c>
      <x:c r="I23" s="21" t="n">
        <x:f>参数与事实!G19</x:f>
        <x:v>0.92</x:v>
      </x:c>
      <x:c r="J23" s="19" t="n">
        <x:f>参数与事实!D19</x:f>
        <x:v>13</x:v>
      </x:c>
      <x:c r="K23" s="15" t="n">
        <x:f>(F23-E23-G23)*H23*I23-J23</x:f>
        <x:v>-4.044247787610642</x:v>
      </x:c>
      <x:c r="L23" s="15" t="n">
        <x:f>MAX(K23,0)*参数与事实!H19</x:f>
        <x:v>0</x:v>
      </x:c>
      <x:c r="M23" s="19" t="n">
        <x:f>SUMIFS(项目利润!$N$5:$N$160,项目利润!$A$5:$A$160,A23,项目利润!$C$5:$C$160,B23,项目利润!$D$5:$D$160,C23)</x:f>
        <x:v>28.02353403871682</x:v>
      </x:c>
      <x:c r="N23" s="19" t="n">
        <x:f>参数与事实!E19</x:f>
        <x:v>0</x:v>
      </x:c>
      <x:c r="O23" s="22" t="n">
        <x:f>SUM(K23,M23,N23)-L23</x:f>
        <x:v>23.97928625110618</x:v>
      </x:c>
    </x:row>
    <x:row r="24" ht="23" customHeight="1">
      <x:c r="A24" s="2" t="str">
        <x:v>盛新锂能</x:v>
      </x:c>
      <x:c r="B24" s="2" t="n">
        <x:v>2028</x:v>
      </x:c>
      <x:c r="C24" s="19" t="n">
        <x:f>参数与事实!H$5</x:f>
        <x:v>30</x:v>
      </x:c>
      <x:c r="D24" s="19" t="n">
        <x:f>C24/(1+参数与事实!$B$5)</x:f>
        <x:v>26.548672566371685</x:v>
      </x:c>
      <x:c r="E24" s="19" t="n">
        <x:f>MAX(参数与事实!$B$8,D24*参数与事实!$B$7-参数与事实!$B$10)</x:f>
        <x:v>21.69380530973452</x:v>
      </x:c>
      <x:c r="F24" s="19" t="n">
        <x:f>D24*参数与事实!F19</x:f>
        <x:v>25.2212389380531</x:v>
      </x:c>
      <x:c r="G24" s="19" t="n">
        <x:f>参数与事实!$B$10</x:f>
        <x:v>2.2</x:v>
      </x:c>
      <x:c r="H24" s="19" t="n">
        <x:f>参数与事实!C19</x:f>
        <x:v>11</x:v>
      </x:c>
      <x:c r="I24" s="21" t="n">
        <x:f>参数与事实!G19</x:f>
        <x:v>0.92</x:v>
      </x:c>
      <x:c r="J24" s="19" t="n">
        <x:f>参数与事实!D19</x:f>
        <x:v>13</x:v>
      </x:c>
      <x:c r="K24" s="15" t="n">
        <x:f>(F24-E24-G24)*H24*I24-J24</x:f>
        <x:v>0.43362831858405926</x:v>
      </x:c>
      <x:c r="L24" s="15" t="n">
        <x:f>MAX(K24,0)*参数与事实!H19</x:f>
        <x:v>0.07805309734513066</x:v>
      </x:c>
      <x:c r="M24" s="19" t="n">
        <x:f>SUMIFS(项目利润!$N$5:$N$160,项目利润!$A$5:$A$160,A24,项目利润!$C$5:$C$160,B24,项目利润!$D$5:$D$160,C24)</x:f>
        <x:v>50.311834370575234</x:v>
      </x:c>
      <x:c r="N24" s="19" t="n">
        <x:f>参数与事实!E19</x:f>
        <x:v>0</x:v>
      </x:c>
      <x:c r="O24" s="22" t="n">
        <x:f>SUM(K24,M24,N24)-L24</x:f>
        <x:v>50.66740959181416</x:v>
      </x:c>
    </x:row>
    <x:row r="25" ht="23" customHeight="1">
      <x:c r="A25" s="2" t="str">
        <x:v>盛新锂能</x:v>
      </x:c>
      <x:c r="B25" s="2" t="n">
        <x:v>2029</x:v>
      </x:c>
      <x:c r="C25" s="19" t="n">
        <x:f>参数与事实!E$5</x:f>
        <x:v>10</x:v>
      </x:c>
      <x:c r="D25" s="19" t="n">
        <x:f>C25/(1+参数与事实!$B$5)</x:f>
        <x:v>8.849557522123895</x:v>
      </x:c>
      <x:c r="E25" s="19" t="n">
        <x:f>MAX(参数与事实!$B$8,D25*参数与事实!$B$7-参数与事实!$B$10)</x:f>
        <x:v>5.764601769911506</x:v>
      </x:c>
      <x:c r="F25" s="19" t="n">
        <x:f>D25*参数与事实!F20</x:f>
        <x:v>8.4070796460177</x:v>
      </x:c>
      <x:c r="G25" s="19" t="n">
        <x:f>参数与事实!$B$10</x:f>
        <x:v>2.2</x:v>
      </x:c>
      <x:c r="H25" s="19" t="n">
        <x:f>参数与事实!C20</x:f>
        <x:v>11.3</x:v>
      </x:c>
      <x:c r="I25" s="21" t="n">
        <x:f>参数与事实!G20</x:f>
        <x:v>0.92</x:v>
      </x:c>
      <x:c r="J25" s="19" t="n">
        <x:f>参数与事实!D20</x:f>
        <x:v>14</x:v>
      </x:c>
      <x:c r="K25" s="15" t="n">
        <x:f>(F25-E25-G25)*H25*I25-J25</x:f>
        <x:v>-9.400000000000016</x:v>
      </x:c>
      <x:c r="L25" s="15" t="n">
        <x:f>MAX(K25,0)*参数与事实!H20</x:f>
        <x:v>0</x:v>
      </x:c>
      <x:c r="M25" s="19" t="n">
        <x:f>SUMIFS(项目利润!$N$5:$N$160,项目利润!$A$5:$A$160,A25,项目利润!$C$5:$C$160,B25,项目利润!$D$5:$D$160,C25)</x:f>
        <x:v>5.735233706858411</x:v>
      </x:c>
      <x:c r="N25" s="19" t="n">
        <x:f>参数与事实!E20</x:f>
        <x:v>0</x:v>
      </x:c>
      <x:c r="O25" s="22" t="n">
        <x:f>SUM(K25,M25,N25)-L25</x:f>
        <x:v>-3.6647662931416054</x:v>
      </x:c>
    </x:row>
    <x:row r="26" ht="23" customHeight="1">
      <x:c r="A26" s="2" t="str">
        <x:v>盛新锂能</x:v>
      </x:c>
      <x:c r="B26" s="2" t="n">
        <x:v>2029</x:v>
      </x:c>
      <x:c r="C26" s="19" t="n">
        <x:f>参数与事实!F$5</x:f>
        <x:v>15</x:v>
      </x:c>
      <x:c r="D26" s="19" t="n">
        <x:f>C26/(1+参数与事实!$B$5)</x:f>
        <x:v>13.274336283185843</x:v>
      </x:c>
      <x:c r="E26" s="19" t="n">
        <x:f>MAX(参数与事实!$B$8,D26*参数与事实!$B$7-参数与事实!$B$10)</x:f>
        <x:v>9.74690265486726</x:v>
      </x:c>
      <x:c r="F26" s="19" t="n">
        <x:f>D26*参数与事实!F20</x:f>
        <x:v>12.61061946902655</x:v>
      </x:c>
      <x:c r="G26" s="19" t="n">
        <x:f>参数与事实!$B$10</x:f>
        <x:v>2.2</x:v>
      </x:c>
      <x:c r="H26" s="19" t="n">
        <x:f>参数与事实!C20</x:f>
        <x:v>11.3</x:v>
      </x:c>
      <x:c r="I26" s="21" t="n">
        <x:f>参数与事实!G20</x:f>
        <x:v>0.92</x:v>
      </x:c>
      <x:c r="J26" s="19" t="n">
        <x:f>参数与事实!D20</x:f>
        <x:v>14</x:v>
      </x:c>
      <x:c r="K26" s="15" t="n">
        <x:f>(F26-E26-G26)*H26*I26-J26</x:f>
        <x:v>-7.100000000000009</x:v>
      </x:c>
      <x:c r="L26" s="15" t="n">
        <x:f>MAX(K26,0)*参数与事实!H20</x:f>
        <x:v>0</x:v>
      </x:c>
      <x:c r="M26" s="19" t="n">
        <x:f>SUMIFS(项目利润!$N$5:$N$160,项目利润!$A$5:$A$160,A26,项目利润!$C$5:$C$160,B26,项目利润!$D$5:$D$160,C26)</x:f>
        <x:v>16.87938387278762</x:v>
      </x:c>
      <x:c r="N26" s="19" t="n">
        <x:f>参数与事实!E20</x:f>
        <x:v>0</x:v>
      </x:c>
      <x:c r="O26" s="22" t="n">
        <x:f>SUM(K26,M26,N26)-L26</x:f>
        <x:v>9.779383872787612</x:v>
      </x:c>
    </x:row>
    <x:row r="27" ht="23" customHeight="1">
      <x:c r="A27" s="2" t="str">
        <x:v>盛新锂能</x:v>
      </x:c>
      <x:c r="B27" s="2" t="n">
        <x:v>2029</x:v>
      </x:c>
      <x:c r="C27" s="19" t="n">
        <x:f>参数与事实!G$5</x:f>
        <x:v>20</x:v>
      </x:c>
      <x:c r="D27" s="19" t="n">
        <x:f>C27/(1+参数与事实!$B$5)</x:f>
        <x:v>17.69911504424779</x:v>
      </x:c>
      <x:c r="E27" s="19" t="n">
        <x:f>MAX(参数与事实!$B$8,D27*参数与事实!$B$7-参数与事实!$B$10)</x:f>
        <x:v>13.729203539823011</x:v>
      </x:c>
      <x:c r="F27" s="19" t="n">
        <x:f>D27*参数与事实!F20</x:f>
        <x:v>16.8141592920354</x:v>
      </x:c>
      <x:c r="G27" s="19" t="n">
        <x:f>参数与事实!$B$10</x:f>
        <x:v>2.2</x:v>
      </x:c>
      <x:c r="H27" s="19" t="n">
        <x:f>参数与事实!C20</x:f>
        <x:v>11.3</x:v>
      </x:c>
      <x:c r="I27" s="21" t="n">
        <x:f>参数与事实!G20</x:f>
        <x:v>0.92</x:v>
      </x:c>
      <x:c r="J27" s="19" t="n">
        <x:f>参数与事实!D20</x:f>
        <x:v>14</x:v>
      </x:c>
      <x:c r="K27" s="15" t="n">
        <x:f>(F27-E27-G27)*H27*I27-J27</x:f>
        <x:v>-4.80000000000002</x:v>
      </x:c>
      <x:c r="L27" s="15" t="n">
        <x:f>MAX(K27,0)*参数与事实!H20</x:f>
        <x:v>0</x:v>
      </x:c>
      <x:c r="M27" s="19" t="n">
        <x:f>SUMIFS(项目利润!$N$5:$N$160,项目利润!$A$5:$A$160,A27,项目利润!$C$5:$C$160,B27,项目利润!$D$5:$D$160,C27)</x:f>
        <x:v>28.02353403871682</x:v>
      </x:c>
      <x:c r="N27" s="19" t="n">
        <x:f>参数与事实!E20</x:f>
        <x:v>0</x:v>
      </x:c>
      <x:c r="O27" s="22" t="n">
        <x:f>SUM(K27,M27,N27)-L27</x:f>
        <x:v>23.2235340387168</x:v>
      </x:c>
    </x:row>
    <x:row r="28" ht="23" customHeight="1">
      <x:c r="A28" s="2" t="str">
        <x:v>盛新锂能</x:v>
      </x:c>
      <x:c r="B28" s="2" t="n">
        <x:v>2029</x:v>
      </x:c>
      <x:c r="C28" s="19" t="n">
        <x:f>参数与事实!H$5</x:f>
        <x:v>30</x:v>
      </x:c>
      <x:c r="D28" s="19" t="n">
        <x:f>C28/(1+参数与事实!$B$5)</x:f>
        <x:v>26.548672566371685</x:v>
      </x:c>
      <x:c r="E28" s="19" t="n">
        <x:f>MAX(参数与事实!$B$8,D28*参数与事实!$B$7-参数与事实!$B$10)</x:f>
        <x:v>21.69380530973452</x:v>
      </x:c>
      <x:c r="F28" s="19" t="n">
        <x:f>D28*参数与事实!F20</x:f>
        <x:v>25.2212389380531</x:v>
      </x:c>
      <x:c r="G28" s="19" t="n">
        <x:f>参数与事实!$B$10</x:f>
        <x:v>2.2</x:v>
      </x:c>
      <x:c r="H28" s="19" t="n">
        <x:f>参数与事实!C20</x:f>
        <x:v>11.3</x:v>
      </x:c>
      <x:c r="I28" s="21" t="n">
        <x:f>参数与事实!G20</x:f>
        <x:v>0.92</x:v>
      </x:c>
      <x:c r="J28" s="19" t="n">
        <x:f>参数与事实!D20</x:f>
        <x:v>14</x:v>
      </x:c>
      <x:c r="K28" s="15" t="n">
        <x:f>(F28-E28-G28)*H28*I28-J28</x:f>
        <x:v>-0.20000000000000995</x:v>
      </x:c>
      <x:c r="L28" s="15" t="n">
        <x:f>MAX(K28,0)*参数与事实!H20</x:f>
        <x:v>0</x:v>
      </x:c>
      <x:c r="M28" s="19" t="n">
        <x:f>SUMIFS(项目利润!$N$5:$N$160,项目利润!$A$5:$A$160,A28,项目利润!$C$5:$C$160,B28,项目利润!$D$5:$D$160,C28)</x:f>
        <x:v>50.311834370575234</x:v>
      </x:c>
      <x:c r="N28" s="19" t="n">
        <x:f>参数与事实!E20</x:f>
        <x:v>0</x:v>
      </x:c>
      <x:c r="O28" s="22" t="n">
        <x:f>SUM(K28,M28,N28)-L28</x:f>
        <x:v>50.111834370575224</x:v>
      </x:c>
    </x:row>
    <x:row r="29" ht="23" customHeight="1">
      <x:c r="A29" s="2" t="str">
        <x:v>赣锋锂业</x:v>
      </x:c>
      <x:c r="B29" s="2" t="n">
        <x:v>2027</x:v>
      </x:c>
      <x:c r="C29" s="19" t="n">
        <x:f>参数与事实!E$5</x:f>
        <x:v>10</x:v>
      </x:c>
      <x:c r="D29" s="19" t="n">
        <x:f>C29/(1+参数与事实!$B$5)</x:f>
        <x:v>8.849557522123895</x:v>
      </x:c>
      <x:c r="E29" s="19" t="n">
        <x:f>MAX(参数与事实!$B$8,D29*参数与事实!$B$7-参数与事实!$B$10)</x:f>
        <x:v>5.764601769911506</x:v>
      </x:c>
      <x:c r="F29" s="19" t="n">
        <x:f>D29*参数与事实!F21</x:f>
        <x:v>8.672566371681418</x:v>
      </x:c>
      <x:c r="G29" s="19" t="n">
        <x:f>参数与事实!$B$10</x:f>
        <x:v>2.2</x:v>
      </x:c>
      <x:c r="H29" s="19" t="n">
        <x:f>参数与事实!C21</x:f>
        <x:v>14.5</x:v>
      </x:c>
      <x:c r="I29" s="21" t="n">
        <x:f>参数与事实!G21</x:f>
        <x:v>1</x:v>
      </x:c>
      <x:c r="J29" s="19" t="n">
        <x:f>参数与事实!D21</x:f>
        <x:v>26</x:v>
      </x:c>
      <x:c r="K29" s="15" t="n">
        <x:f>(F29-E29-G29)*H29*I29-J29</x:f>
        <x:v>-15.73451327433628</x:v>
      </x:c>
      <x:c r="L29" s="15" t="n">
        <x:f>MAX(K29,0)*参数与事实!H21</x:f>
        <x:v>0</x:v>
      </x:c>
      <x:c r="M29" s="19" t="n">
        <x:f>SUMIFS(项目利润!$N$5:$N$160,项目利润!$A$5:$A$160,A29,项目利润!$C$5:$C$160,B29,项目利润!$D$5:$D$160,C29)</x:f>
        <x:v>14.440167942035405</x:v>
      </x:c>
      <x:c r="N29" s="19" t="n">
        <x:f>参数与事实!E21</x:f>
        <x:v>5</x:v>
      </x:c>
      <x:c r="O29" s="22" t="n">
        <x:f>SUM(K29,M29,N29)-L29</x:f>
        <x:v>3.7056546676991253</x:v>
      </x:c>
    </x:row>
    <x:row r="30" ht="23" customHeight="1">
      <x:c r="A30" s="2" t="str">
        <x:v>赣锋锂业</x:v>
      </x:c>
      <x:c r="B30" s="2" t="n">
        <x:v>2027</x:v>
      </x:c>
      <x:c r="C30" s="19" t="n">
        <x:f>参数与事实!F$5</x:f>
        <x:v>15</x:v>
      </x:c>
      <x:c r="D30" s="19" t="n">
        <x:f>C30/(1+参数与事实!$B$5)</x:f>
        <x:v>13.274336283185843</x:v>
      </x:c>
      <x:c r="E30" s="19" t="n">
        <x:f>MAX(参数与事实!$B$8,D30*参数与事实!$B$7-参数与事实!$B$10)</x:f>
        <x:v>9.74690265486726</x:v>
      </x:c>
      <x:c r="F30" s="19" t="n">
        <x:f>D30*参数与事实!F21</x:f>
        <x:v>13.008849557522126</x:v>
      </x:c>
      <x:c r="G30" s="19" t="n">
        <x:f>参数与事实!$B$10</x:f>
        <x:v>2.2</x:v>
      </x:c>
      <x:c r="H30" s="19" t="n">
        <x:f>参数与事实!C21</x:f>
        <x:v>14.5</x:v>
      </x:c>
      <x:c r="I30" s="21" t="n">
        <x:f>参数与事实!G21</x:f>
        <x:v>1</x:v>
      </x:c>
      <x:c r="J30" s="19" t="n">
        <x:f>参数与事实!D21</x:f>
        <x:v>26</x:v>
      </x:c>
      <x:c r="K30" s="15" t="n">
        <x:f>(F30-E30-G30)*H30*I30-J30</x:f>
        <x:v>-10.601769911504439</x:v>
      </x:c>
      <x:c r="L30" s="15" t="n">
        <x:f>MAX(K30,0)*参数与事实!H21</x:f>
        <x:v>0</x:v>
      </x:c>
      <x:c r="M30" s="19" t="n">
        <x:f>SUMIFS(项目利润!$N$5:$N$160,项目利润!$A$5:$A$160,A30,项目利润!$C$5:$C$160,B30,项目利润!$D$5:$D$160,C30)</x:f>
        <x:v>43.5330256880531</x:v>
      </x:c>
      <x:c r="N30" s="19" t="n">
        <x:f>参数与事实!E21</x:f>
        <x:v>5</x:v>
      </x:c>
      <x:c r="O30" s="22" t="n">
        <x:f>SUM(K30,M30,N30)-L30</x:f>
        <x:v>37.93125577654866</x:v>
      </x:c>
    </x:row>
    <x:row r="31" ht="23" customHeight="1">
      <x:c r="A31" s="2" t="str">
        <x:v>赣锋锂业</x:v>
      </x:c>
      <x:c r="B31" s="2" t="n">
        <x:v>2027</x:v>
      </x:c>
      <x:c r="C31" s="19" t="n">
        <x:f>参数与事实!G$5</x:f>
        <x:v>20</x:v>
      </x:c>
      <x:c r="D31" s="19" t="n">
        <x:f>C31/(1+参数与事实!$B$5)</x:f>
        <x:v>17.69911504424779</x:v>
      </x:c>
      <x:c r="E31" s="19" t="n">
        <x:f>MAX(参数与事实!$B$8,D31*参数与事实!$B$7-参数与事实!$B$10)</x:f>
        <x:v>13.729203539823011</x:v>
      </x:c>
      <x:c r="F31" s="19" t="n">
        <x:f>D31*参数与事实!F21</x:f>
        <x:v>17.345132743362836</x:v>
      </x:c>
      <x:c r="G31" s="19" t="n">
        <x:f>参数与事实!$B$10</x:f>
        <x:v>2.2</x:v>
      </x:c>
      <x:c r="H31" s="19" t="n">
        <x:f>参数与事实!C21</x:f>
        <x:v>14.5</x:v>
      </x:c>
      <x:c r="I31" s="21" t="n">
        <x:f>参数与事实!G21</x:f>
        <x:v>1</x:v>
      </x:c>
      <x:c r="J31" s="19" t="n">
        <x:f>参数与事实!D21</x:f>
        <x:v>26</x:v>
      </x:c>
      <x:c r="K31" s="15" t="n">
        <x:f>(F31-E31-G31)*H31*I31-J31</x:f>
        <x:v>-5.469026548672549</x:v>
      </x:c>
      <x:c r="L31" s="15" t="n">
        <x:f>MAX(K31,0)*参数与事实!H21</x:f>
        <x:v>0</x:v>
      </x:c>
      <x:c r="M31" s="19" t="n">
        <x:f>SUMIFS(项目利润!$N$5:$N$160,项目利润!$A$5:$A$160,A31,项目利润!$C$5:$C$160,B31,项目利润!$D$5:$D$160,C31)</x:f>
        <x:v>72.62588343407081</x:v>
      </x:c>
      <x:c r="N31" s="19" t="n">
        <x:f>参数与事实!E21</x:f>
        <x:v>5</x:v>
      </x:c>
      <x:c r="O31" s="22" t="n">
        <x:f>SUM(K31,M31,N31)-L31</x:f>
        <x:v>72.15685688539827</x:v>
      </x:c>
    </x:row>
    <x:row r="32" ht="23" customHeight="1">
      <x:c r="A32" s="2" t="str">
        <x:v>赣锋锂业</x:v>
      </x:c>
      <x:c r="B32" s="2" t="n">
        <x:v>2027</x:v>
      </x:c>
      <x:c r="C32" s="19" t="n">
        <x:f>参数与事实!H$5</x:f>
        <x:v>30</x:v>
      </x:c>
      <x:c r="D32" s="19" t="n">
        <x:f>C32/(1+参数与事实!$B$5)</x:f>
        <x:v>26.548672566371685</x:v>
      </x:c>
      <x:c r="E32" s="19" t="n">
        <x:f>MAX(参数与事实!$B$8,D32*参数与事实!$B$7-参数与事实!$B$10)</x:f>
        <x:v>21.69380530973452</x:v>
      </x:c>
      <x:c r="F32" s="19" t="n">
        <x:f>D32*参数与事实!F21</x:f>
        <x:v>26.017699115044252</x:v>
      </x:c>
      <x:c r="G32" s="19" t="n">
        <x:f>参数与事实!$B$10</x:f>
        <x:v>2.2</x:v>
      </x:c>
      <x:c r="H32" s="19" t="n">
        <x:f>参数与事实!C21</x:f>
        <x:v>14.5</x:v>
      </x:c>
      <x:c r="I32" s="21" t="n">
        <x:f>参数与事实!G21</x:f>
        <x:v>1</x:v>
      </x:c>
      <x:c r="J32" s="19" t="n">
        <x:f>参数与事实!D21</x:f>
        <x:v>26</x:v>
      </x:c>
      <x:c r="K32" s="15" t="n">
        <x:f>(F32-E32-G32)*H32*I32-J32</x:f>
        <x:v>4.796460176991133</x:v>
      </x:c>
      <x:c r="L32" s="15" t="n">
        <x:f>MAX(K32,0)*参数与事实!H21</x:f>
        <x:v>0.7194690265486698</x:v>
      </x:c>
      <x:c r="M32" s="19" t="n">
        <x:f>SUMIFS(项目利润!$N$5:$N$160,项目利润!$A$5:$A$160,A32,项目利润!$C$5:$C$160,B32,项目利润!$D$5:$D$160,C32)</x:f>
        <x:v>130.8115989261062</x:v>
      </x:c>
      <x:c r="N32" s="19" t="n">
        <x:f>参数与事实!E21</x:f>
        <x:v>5</x:v>
      </x:c>
      <x:c r="O32" s="22" t="n">
        <x:f>SUM(K32,M32,N32)-L32</x:f>
        <x:v>139.88859007654867</x:v>
      </x:c>
    </x:row>
    <x:row r="33" ht="23" customHeight="1">
      <x:c r="A33" s="2" t="str">
        <x:v>赣锋锂业</x:v>
      </x:c>
      <x:c r="B33" s="2" t="n">
        <x:v>2028</x:v>
      </x:c>
      <x:c r="C33" s="19" t="n">
        <x:f>参数与事实!E$5</x:f>
        <x:v>10</x:v>
      </x:c>
      <x:c r="D33" s="19" t="n">
        <x:f>C33/(1+参数与事实!$B$5)</x:f>
        <x:v>8.849557522123895</x:v>
      </x:c>
      <x:c r="E33" s="19" t="n">
        <x:f>MAX(参数与事实!$B$8,D33*参数与事实!$B$7-参数与事实!$B$10)</x:f>
        <x:v>5.764601769911506</x:v>
      </x:c>
      <x:c r="F33" s="19" t="n">
        <x:f>D33*参数与事实!F22</x:f>
        <x:v>8.672566371681418</x:v>
      </x:c>
      <x:c r="G33" s="19" t="n">
        <x:f>参数与事实!$B$10</x:f>
        <x:v>2.2</x:v>
      </x:c>
      <x:c r="H33" s="19" t="n">
        <x:f>参数与事实!C22</x:f>
        <x:v>15.5</x:v>
      </x:c>
      <x:c r="I33" s="21" t="n">
        <x:f>参数与事实!G22</x:f>
        <x:v>1</x:v>
      </x:c>
      <x:c r="J33" s="19" t="n">
        <x:f>参数与事实!D22</x:f>
        <x:v>28</x:v>
      </x:c>
      <x:c r="K33" s="15" t="n">
        <x:f>(F33-E33-G33)*H33*I33-J33</x:f>
        <x:v>-17.02654867256637</x:v>
      </x:c>
      <x:c r="L33" s="15" t="n">
        <x:f>MAX(K33,0)*参数与事实!H22</x:f>
        <x:v>0</x:v>
      </x:c>
      <x:c r="M33" s="19" t="n">
        <x:f>SUMIFS(项目利润!$N$5:$N$160,项目利润!$A$5:$A$160,A33,项目利润!$C$5:$C$160,B33,项目利润!$D$5:$D$160,C33)</x:f>
        <x:v>16.266096865044258</x:v>
      </x:c>
      <x:c r="N33" s="19" t="n">
        <x:f>参数与事实!E22</x:f>
        <x:v>7</x:v>
      </x:c>
      <x:c r="O33" s="22" t="n">
        <x:f>SUM(K33,M33,N33)-L33</x:f>
        <x:v>6.239548192477887</x:v>
      </x:c>
    </x:row>
    <x:row r="34" ht="23" customHeight="1">
      <x:c r="A34" s="2" t="str">
        <x:v>赣锋锂业</x:v>
      </x:c>
      <x:c r="B34" s="2" t="n">
        <x:v>2028</x:v>
      </x:c>
      <x:c r="C34" s="19" t="n">
        <x:f>参数与事实!F$5</x:f>
        <x:v>15</x:v>
      </x:c>
      <x:c r="D34" s="19" t="n">
        <x:f>C34/(1+参数与事实!$B$5)</x:f>
        <x:v>13.274336283185843</x:v>
      </x:c>
      <x:c r="E34" s="19" t="n">
        <x:f>MAX(参数与事实!$B$8,D34*参数与事实!$B$7-参数与事实!$B$10)</x:f>
        <x:v>9.74690265486726</x:v>
      </x:c>
      <x:c r="F34" s="19" t="n">
        <x:f>D34*参数与事实!F22</x:f>
        <x:v>13.008849557522126</x:v>
      </x:c>
      <x:c r="G34" s="19" t="n">
        <x:f>参数与事实!$B$10</x:f>
        <x:v>2.2</x:v>
      </x:c>
      <x:c r="H34" s="19" t="n">
        <x:f>参数与事实!C22</x:f>
        <x:v>15.5</x:v>
      </x:c>
      <x:c r="I34" s="21" t="n">
        <x:f>参数与事实!G22</x:f>
        <x:v>1</x:v>
      </x:c>
      <x:c r="J34" s="19" t="n">
        <x:f>参数与事实!D22</x:f>
        <x:v>28</x:v>
      </x:c>
      <x:c r="K34" s="15" t="n">
        <x:f>(F34-E34-G34)*H34*I34-J34</x:f>
        <x:v>-11.539823008849574</x:v>
      </x:c>
      <x:c r="L34" s="15" t="n">
        <x:f>MAX(K34,0)*参数与事实!H22</x:f>
        <x:v>0</x:v>
      </x:c>
      <x:c r="M34" s="19" t="n">
        <x:f>SUMIFS(项目利润!$N$5:$N$160,项目利润!$A$5:$A$160,A34,项目利润!$C$5:$C$160,B34,项目利润!$D$5:$D$160,C34)</x:f>
        <x:v>49.47875367256639</x:v>
      </x:c>
      <x:c r="N34" s="19" t="n">
        <x:f>参数与事实!E22</x:f>
        <x:v>7</x:v>
      </x:c>
      <x:c r="O34" s="22" t="n">
        <x:f>SUM(K34,M34,N34)-L34</x:f>
        <x:v>44.93893066371682</x:v>
      </x:c>
    </x:row>
    <x:row r="35" ht="23" customHeight="1">
      <x:c r="A35" s="2" t="str">
        <x:v>赣锋锂业</x:v>
      </x:c>
      <x:c r="B35" s="2" t="n">
        <x:v>2028</x:v>
      </x:c>
      <x:c r="C35" s="19" t="n">
        <x:f>参数与事实!G$5</x:f>
        <x:v>20</x:v>
      </x:c>
      <x:c r="D35" s="19" t="n">
        <x:f>C35/(1+参数与事实!$B$5)</x:f>
        <x:v>17.69911504424779</x:v>
      </x:c>
      <x:c r="E35" s="19" t="n">
        <x:f>MAX(参数与事实!$B$8,D35*参数与事实!$B$7-参数与事实!$B$10)</x:f>
        <x:v>13.729203539823011</x:v>
      </x:c>
      <x:c r="F35" s="19" t="n">
        <x:f>D35*参数与事实!F22</x:f>
        <x:v>17.345132743362836</x:v>
      </x:c>
      <x:c r="G35" s="19" t="n">
        <x:f>参数与事实!$B$10</x:f>
        <x:v>2.2</x:v>
      </x:c>
      <x:c r="H35" s="19" t="n">
        <x:f>参数与事实!C22</x:f>
        <x:v>15.5</x:v>
      </x:c>
      <x:c r="I35" s="21" t="n">
        <x:f>参数与事实!G22</x:f>
        <x:v>1</x:v>
      </x:c>
      <x:c r="J35" s="19" t="n">
        <x:f>参数与事实!D22</x:f>
        <x:v>28</x:v>
      </x:c>
      <x:c r="K35" s="15" t="n">
        <x:f>(F35-E35-G35)*H35*I35-J35</x:f>
        <x:v>-6.0530973451327235</x:v>
      </x:c>
      <x:c r="L35" s="15" t="n">
        <x:f>MAX(K35,0)*参数与事实!H22</x:f>
        <x:v>0</x:v>
      </x:c>
      <x:c r="M35" s="19" t="n">
        <x:f>SUMIFS(项目利润!$N$5:$N$160,项目利润!$A$5:$A$160,A35,项目利润!$C$5:$C$160,B35,项目利润!$D$5:$D$160,C35)</x:f>
        <x:v>82.6914104800885</x:v>
      </x:c>
      <x:c r="N35" s="19" t="n">
        <x:f>参数与事实!E22</x:f>
        <x:v>7</x:v>
      </x:c>
      <x:c r="O35" s="22" t="n">
        <x:f>SUM(K35,M35,N35)-L35</x:f>
        <x:v>83.63831313495578</x:v>
      </x:c>
    </x:row>
    <x:row r="36" ht="23" customHeight="1">
      <x:c r="A36" s="2" t="str">
        <x:v>赣锋锂业</x:v>
      </x:c>
      <x:c r="B36" s="2" t="n">
        <x:v>2028</x:v>
      </x:c>
      <x:c r="C36" s="19" t="n">
        <x:f>参数与事实!H$5</x:f>
        <x:v>30</x:v>
      </x:c>
      <x:c r="D36" s="19" t="n">
        <x:f>C36/(1+参数与事实!$B$5)</x:f>
        <x:v>26.548672566371685</x:v>
      </x:c>
      <x:c r="E36" s="19" t="n">
        <x:f>MAX(参数与事实!$B$8,D36*参数与事实!$B$7-参数与事实!$B$10)</x:f>
        <x:v>21.69380530973452</x:v>
      </x:c>
      <x:c r="F36" s="19" t="n">
        <x:f>D36*参数与事实!F22</x:f>
        <x:v>26.017699115044252</x:v>
      </x:c>
      <x:c r="G36" s="19" t="n">
        <x:f>参数与事实!$B$10</x:f>
        <x:v>2.2</x:v>
      </x:c>
      <x:c r="H36" s="19" t="n">
        <x:f>参数与事实!C22</x:f>
        <x:v>15.5</x:v>
      </x:c>
      <x:c r="I36" s="21" t="n">
        <x:f>参数与事实!G22</x:f>
        <x:v>1</x:v>
      </x:c>
      <x:c r="J36" s="19" t="n">
        <x:f>参数与事实!D22</x:f>
        <x:v>28</x:v>
      </x:c>
      <x:c r="K36" s="15" t="n">
        <x:f>(F36-E36-G36)*H36*I36-J36</x:f>
        <x:v>4.920353982300867</x:v>
      </x:c>
      <x:c r="L36" s="15" t="n">
        <x:f>MAX(K36,0)*参数与事实!H22</x:f>
        <x:v>0.73805309734513</x:v>
      </x:c>
      <x:c r="M36" s="19" t="n">
        <x:f>SUMIFS(项目利润!$N$5:$N$160,项目利润!$A$5:$A$160,A36,项目利润!$C$5:$C$160,B36,项目利润!$D$5:$D$160,C36)</x:f>
        <x:v>149.11672409513278</x:v>
      </x:c>
      <x:c r="N36" s="19" t="n">
        <x:f>参数与事实!E22</x:f>
        <x:v>7</x:v>
      </x:c>
      <x:c r="O36" s="22" t="n">
        <x:f>SUM(K36,M36,N36)-L36</x:f>
        <x:v>160.29902498008852</x:v>
      </x:c>
    </x:row>
    <x:row r="37" ht="23" customHeight="1">
      <x:c r="A37" s="2" t="str">
        <x:v>赣锋锂业</x:v>
      </x:c>
      <x:c r="B37" s="2" t="n">
        <x:v>2029</x:v>
      </x:c>
      <x:c r="C37" s="19" t="n">
        <x:f>参数与事实!E$5</x:f>
        <x:v>10</x:v>
      </x:c>
      <x:c r="D37" s="19" t="n">
        <x:f>C37/(1+参数与事实!$B$5)</x:f>
        <x:v>8.849557522123895</x:v>
      </x:c>
      <x:c r="E37" s="19" t="n">
        <x:f>MAX(参数与事实!$B$8,D37*参数与事实!$B$7-参数与事实!$B$10)</x:f>
        <x:v>5.764601769911506</x:v>
      </x:c>
      <x:c r="F37" s="19" t="n">
        <x:f>D37*参数与事实!F23</x:f>
        <x:v>8.672566371681418</x:v>
      </x:c>
      <x:c r="G37" s="19" t="n">
        <x:f>参数与事实!$B$10</x:f>
        <x:v>2.2</x:v>
      </x:c>
      <x:c r="H37" s="19" t="n">
        <x:f>参数与事实!C23</x:f>
        <x:v>16.5</x:v>
      </x:c>
      <x:c r="I37" s="21" t="n">
        <x:f>参数与事实!G23</x:f>
        <x:v>1</x:v>
      </x:c>
      <x:c r="J37" s="19" t="n">
        <x:f>参数与事实!D23</x:f>
        <x:v>30</x:v>
      </x:c>
      <x:c r="K37" s="15" t="n">
        <x:f>(F37-E37-G37)*H37*I37-J37</x:f>
        <x:v>-18.318584070796454</x:v>
      </x:c>
      <x:c r="L37" s="15" t="n">
        <x:f>MAX(K37,0)*参数与事实!H23</x:f>
        <x:v>0</x:v>
      </x:c>
      <x:c r="M37" s="19" t="n">
        <x:f>SUMIFS(项目利润!$N$5:$N$160,项目利润!$A$5:$A$160,A37,项目利润!$C$5:$C$160,B37,项目利润!$D$5:$D$160,C37)</x:f>
        <x:v>18.05203607079647</x:v>
      </x:c>
      <x:c r="N37" s="19" t="n">
        <x:f>参数与事实!E23</x:f>
        <x:v>9</x:v>
      </x:c>
      <x:c r="O37" s="22" t="n">
        <x:f>SUM(K37,M37,N37)-L37</x:f>
        <x:v>8.733452000000014</x:v>
      </x:c>
    </x:row>
    <x:row r="38" ht="23" customHeight="1">
      <x:c r="A38" s="2" t="str">
        <x:v>赣锋锂业</x:v>
      </x:c>
      <x:c r="B38" s="2" t="n">
        <x:v>2029</x:v>
      </x:c>
      <x:c r="C38" s="19" t="n">
        <x:f>参数与事实!F$5</x:f>
        <x:v>15</x:v>
      </x:c>
      <x:c r="D38" s="19" t="n">
        <x:f>C38/(1+参数与事实!$B$5)</x:f>
        <x:v>13.274336283185843</x:v>
      </x:c>
      <x:c r="E38" s="19" t="n">
        <x:f>MAX(参数与事实!$B$8,D38*参数与事实!$B$7-参数与事实!$B$10)</x:f>
        <x:v>9.74690265486726</x:v>
      </x:c>
      <x:c r="F38" s="19" t="n">
        <x:f>D38*参数与事实!F23</x:f>
        <x:v>13.008849557522126</x:v>
      </x:c>
      <x:c r="G38" s="19" t="n">
        <x:f>参数与事实!$B$10</x:f>
        <x:v>2.2</x:v>
      </x:c>
      <x:c r="H38" s="19" t="n">
        <x:f>参数与事实!C23</x:f>
        <x:v>16.5</x:v>
      </x:c>
      <x:c r="I38" s="21" t="n">
        <x:f>参数与事实!G23</x:f>
        <x:v>1</x:v>
      </x:c>
      <x:c r="J38" s="19" t="n">
        <x:f>参数与事实!D23</x:f>
        <x:v>30</x:v>
      </x:c>
      <x:c r="K38" s="15" t="n">
        <x:f>(F38-E38-G38)*H38*I38-J38</x:f>
        <x:v>-12.477876106194707</x:v>
      </x:c>
      <x:c r="L38" s="15" t="n">
        <x:f>MAX(K38,0)*参数与事实!H23</x:f>
        <x:v>0</x:v>
      </x:c>
      <x:c r="M38" s="19" t="n">
        <x:f>SUMIFS(项目利润!$N$5:$N$160,项目利润!$A$5:$A$160,A38,项目利润!$C$5:$C$160,B38,项目利润!$D$5:$D$160,C38)</x:f>
        <x:v>55.05373160619472</x:v>
      </x:c>
      <x:c r="N38" s="19" t="n">
        <x:f>参数与事实!E23</x:f>
        <x:v>9</x:v>
      </x:c>
      <x:c r="O38" s="22" t="n">
        <x:f>SUM(K38,M38,N38)-L38</x:f>
        <x:v>51.57585550000001</x:v>
      </x:c>
    </x:row>
    <x:row r="39" ht="23" customHeight="1">
      <x:c r="A39" s="2" t="str">
        <x:v>赣锋锂业</x:v>
      </x:c>
      <x:c r="B39" s="2" t="n">
        <x:v>2029</x:v>
      </x:c>
      <x:c r="C39" s="19" t="n">
        <x:f>参数与事实!G$5</x:f>
        <x:v>20</x:v>
      </x:c>
      <x:c r="D39" s="19" t="n">
        <x:f>C39/(1+参数与事实!$B$5)</x:f>
        <x:v>17.69911504424779</x:v>
      </x:c>
      <x:c r="E39" s="19" t="n">
        <x:f>MAX(参数与事实!$B$8,D39*参数与事实!$B$7-参数与事实!$B$10)</x:f>
        <x:v>13.729203539823011</x:v>
      </x:c>
      <x:c r="F39" s="19" t="n">
        <x:f>D39*参数与事实!F23</x:f>
        <x:v>17.345132743362836</x:v>
      </x:c>
      <x:c r="G39" s="19" t="n">
        <x:f>参数与事实!$B$10</x:f>
        <x:v>2.2</x:v>
      </x:c>
      <x:c r="H39" s="19" t="n">
        <x:f>参数与事实!C23</x:f>
        <x:v>16.5</x:v>
      </x:c>
      <x:c r="I39" s="21" t="n">
        <x:f>参数与事实!G23</x:f>
        <x:v>1</x:v>
      </x:c>
      <x:c r="J39" s="19" t="n">
        <x:f>参数与事实!D23</x:f>
        <x:v>30</x:v>
      </x:c>
      <x:c r="K39" s="15" t="n">
        <x:f>(F39-E39-G39)*H39*I39-J39</x:f>
        <x:v>-6.637168141592898</x:v>
      </x:c>
      <x:c r="L39" s="15" t="n">
        <x:f>MAX(K39,0)*参数与事实!H23</x:f>
        <x:v>0</x:v>
      </x:c>
      <x:c r="M39" s="19" t="n">
        <x:f>SUMIFS(项目利润!$N$5:$N$160,项目利润!$A$5:$A$160,A39,项目利润!$C$5:$C$160,B39,项目利润!$D$5:$D$160,C39)</x:f>
        <x:v>92.05542714159293</x:v>
      </x:c>
      <x:c r="N39" s="19" t="n">
        <x:f>参数与事实!E23</x:f>
        <x:v>9</x:v>
      </x:c>
      <x:c r="O39" s="22" t="n">
        <x:f>SUM(K39,M39,N39)-L39</x:f>
        <x:v>94.41825900000003</x:v>
      </x:c>
    </x:row>
    <x:row r="40" ht="23" customHeight="1">
      <x:c r="A40" s="2" t="str">
        <x:v>赣锋锂业</x:v>
      </x:c>
      <x:c r="B40" s="2" t="n">
        <x:v>2029</x:v>
      </x:c>
      <x:c r="C40" s="19" t="n">
        <x:f>参数与事实!H$5</x:f>
        <x:v>30</x:v>
      </x:c>
      <x:c r="D40" s="19" t="n">
        <x:f>C40/(1+参数与事实!$B$5)</x:f>
        <x:v>26.548672566371685</x:v>
      </x:c>
      <x:c r="E40" s="19" t="n">
        <x:f>MAX(参数与事实!$B$8,D40*参数与事实!$B$7-参数与事实!$B$10)</x:f>
        <x:v>21.69380530973452</x:v>
      </x:c>
      <x:c r="F40" s="19" t="n">
        <x:f>D40*参数与事实!F23</x:f>
        <x:v>26.017699115044252</x:v>
      </x:c>
      <x:c r="G40" s="19" t="n">
        <x:f>参数与事实!$B$10</x:f>
        <x:v>2.2</x:v>
      </x:c>
      <x:c r="H40" s="19" t="n">
        <x:f>参数与事实!C23</x:f>
        <x:v>16.5</x:v>
      </x:c>
      <x:c r="I40" s="21" t="n">
        <x:f>参数与事实!G23</x:f>
        <x:v>1</x:v>
      </x:c>
      <x:c r="J40" s="19" t="n">
        <x:f>参数与事实!D23</x:f>
        <x:v>30</x:v>
      </x:c>
      <x:c r="K40" s="15" t="n">
        <x:f>(F40-E40-G40)*H40*I40-J40</x:f>
        <x:v>5.044247787610601</x:v>
      </x:c>
      <x:c r="L40" s="15" t="n">
        <x:f>MAX(K40,0)*参数与事实!H23</x:f>
        <x:v>0.7566371681415901</x:v>
      </x:c>
      <x:c r="M40" s="19" t="n">
        <x:f>SUMIFS(项目利润!$N$5:$N$160,项目利润!$A$5:$A$160,A40,项目利润!$C$5:$C$160,B40,项目利润!$D$5:$D$160,C40)</x:f>
        <x:v>166.05881821238944</x:v>
      </x:c>
      <x:c r="N40" s="19" t="n">
        <x:f>参数与事实!E23</x:f>
        <x:v>9</x:v>
      </x:c>
      <x:c r="O40" s="22" t="n">
        <x:f>SUM(K40,M40,N40)-L40</x:f>
        <x:v>179.34642883185845</x:v>
      </x:c>
    </x:row>
  </x:sheetData>
  <x:mergeCells>
    <x:mergeCell ref="A1:O2"/>
    <x:mergeCell ref="A3:O3"/>
  </x:mergeCells>
  <x:pageMargins left="0.7" right="0.7" top="0.75" bottom="0.75" header="0.3" footer="0.3"/>
</x:worksheet>
</file>