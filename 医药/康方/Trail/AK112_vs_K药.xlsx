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与配对规则" sheetId="1" state="visible" r:id="rId1"/>
    <sheet name="结论与跟踪清单" sheetId="2" state="visible" r:id="rId2"/>
    <sheet name="配对总表" sheetId="3" state="visible" r:id="rId3"/>
    <sheet name="第一类-完全对等(AK112胜)" sheetId="4" state="visible" r:id="rId4"/>
    <sheet name="第二类-口径有差异" sheetId="5" state="visible" r:id="rId5"/>
    <sheet name="第三类-K药也成功" sheetId="6" state="visible" r:id="rId6"/>
    <sheet name="第四类-无法配对" sheetId="7" state="visible" r:id="rId7"/>
    <sheet name="速览矩阵" sheetId="8" state="visible" r:id="rId8"/>
    <sheet name="反向配对总表(K药胜)" sheetId="9" state="visible" r:id="rId9"/>
    <sheet name="R1-完全对等(K药胜)" sheetId="10" state="visible" r:id="rId10"/>
    <sheet name="R2-头对头未证优效" sheetId="11" state="visible" r:id="rId11"/>
    <sheet name="R3-两者均未成功" sheetId="12" state="visible" r:id="rId12"/>
    <sheet name="K药独占-AK112空白清单" sheetId="13" state="visible" r:id="rId13"/>
    <sheet name="反向速览矩阵" sheetId="14" state="visible" r:id="rId14"/>
    <sheet name="美国市场空间-配对适应症" sheetId="15" state="visible" r:id="rId15"/>
    <sheet name="美国市场空间-K药独占领域" sheetId="16" state="visible" r:id="rId16"/>
    <sheet name="美国测算口径与价格假设" sheetId="17" state="visible" r:id="rId17"/>
  </sheets>
  <definedNames>
    <definedName name="_xlnm._FilterDatabase" localSheetId="2" hidden="1">'配对总表'!$A$1:$O$16</definedName>
    <definedName name="_xlnm._FilterDatabase" localSheetId="3" hidden="1">'第一类-完全对等(AK112胜)'!$A$1:$O$3</definedName>
    <definedName name="_xlnm._FilterDatabase" localSheetId="4" hidden="1">'第二类-口径有差异'!$A$1:$O$4</definedName>
    <definedName name="_xlnm._FilterDatabase" localSheetId="5" hidden="1">'第三类-K药也成功'!$A$1:$O$7</definedName>
    <definedName name="_xlnm._FilterDatabase" localSheetId="6" hidden="1">'第四类-无法配对'!$A$1:$O$5</definedName>
    <definedName name="_xlnm._FilterDatabase" localSheetId="8" hidden="1">'反向配对总表(K药胜)'!$A$1:$O$12</definedName>
    <definedName name="_xlnm._FilterDatabase" localSheetId="9" hidden="1">'R1-完全对等(K药胜)'!$A$1:$O$5</definedName>
    <definedName name="_xlnm._FilterDatabase" localSheetId="10" hidden="1">'R2-头对头未证优效'!$A$1:$O$2</definedName>
    <definedName name="_xlnm._FilterDatabase" localSheetId="11" hidden="1">'R3-两者均未成功'!$A$1:$O$7</definedName>
    <definedName name="_xlnm._FilterDatabase" localSheetId="14" hidden="1">'美国市场空间-配对适应症'!$A$1:$P$22</definedName>
    <definedName name="_xlnm._FilterDatabase" localSheetId="15" hidden="1">'美国市场空间-K药独占领域'!$A$1:$P$14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#,##0.0"/>
  </numFmts>
  <fonts count="10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sz val="10"/>
    </font>
    <font>
      <b val="1"/>
      <color rgb="00FFFFFF"/>
      <sz val="11"/>
    </font>
    <font>
      <b val="1"/>
      <color rgb="001F3864"/>
      <sz val="10"/>
    </font>
    <font>
      <b val="1"/>
      <color rgb="00FFFFFF"/>
      <sz val="10"/>
    </font>
    <font>
      <b val="1"/>
      <color rgb="00C00000"/>
      <sz val="12"/>
    </font>
    <font>
      <b val="1"/>
      <color rgb="00C00000"/>
      <sz val="10"/>
    </font>
    <font>
      <b val="1"/>
      <color rgb="00FFFFFF"/>
      <sz val="12"/>
    </font>
    <font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EAEAEA"/>
      </patternFill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EAF3E4"/>
      </patternFill>
    </fill>
    <fill>
      <patternFill patternType="solid">
        <fgColor rgb="00FBE9E7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/>
    </xf>
    <xf numFmtId="0" fontId="2" fillId="8" borderId="1" applyAlignment="1" pivotButton="0" quotePrefix="0" xfId="0">
      <alignment horizontal="left" vertical="top"/>
    </xf>
    <xf numFmtId="0" fontId="2" fillId="9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1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left" vertical="top"/>
    </xf>
    <xf numFmtId="0" fontId="2" fillId="9" borderId="1" applyAlignment="1" pivotButton="0" quotePrefix="0" xfId="0">
      <alignment horizontal="left" vertical="top"/>
    </xf>
    <xf numFmtId="0" fontId="8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3" fontId="0" fillId="11" borderId="1" applyAlignment="1" pivotButton="0" quotePrefix="0" xfId="0">
      <alignment horizontal="center" vertical="top"/>
    </xf>
    <xf numFmtId="3" fontId="0" fillId="12" borderId="1" applyAlignment="1" pivotButton="0" quotePrefix="0" xfId="0">
      <alignment horizontal="center" vertical="top"/>
    </xf>
    <xf numFmtId="3" fontId="0" fillId="4" borderId="1" applyAlignment="1" pivotButton="0" quotePrefix="0" xfId="0">
      <alignment horizontal="center" vertical="top"/>
    </xf>
    <xf numFmtId="2" fontId="0" fillId="12" borderId="1" applyAlignment="1" pivotButton="0" quotePrefix="0" xfId="0">
      <alignment horizontal="center" vertical="top"/>
    </xf>
    <xf numFmtId="164" fontId="0" fillId="6" borderId="1" applyAlignment="1" pivotButton="0" quotePrefix="0" xfId="0">
      <alignment horizontal="center" vertical="top"/>
    </xf>
    <xf numFmtId="165" fontId="2" fillId="12" borderId="1" applyAlignment="1" pivotButton="0" quotePrefix="0" xfId="0">
      <alignment horizontal="center" vertical="top"/>
    </xf>
    <xf numFmtId="165" fontId="2" fillId="4" borderId="1" applyAlignment="1" pivotButton="0" quotePrefix="0" xfId="0">
      <alignment horizontal="center" vertical="top"/>
    </xf>
    <xf numFmtId="9" fontId="0" fillId="0" borderId="1" applyAlignment="1" pivotButton="0" quotePrefix="0" xfId="0">
      <alignment horizontal="center" vertical="top"/>
    </xf>
    <xf numFmtId="3" fontId="0" fillId="13" borderId="1" applyAlignment="1" pivotButton="0" quotePrefix="0" xfId="0">
      <alignment horizontal="center" vertical="top"/>
    </xf>
    <xf numFmtId="165" fontId="2" fillId="13" borderId="1" applyAlignment="1" pivotButton="0" quotePrefix="0" xfId="0">
      <alignment horizontal="center" vertical="top"/>
    </xf>
    <xf numFmtId="0" fontId="7" fillId="2" borderId="1" applyAlignment="1" pivotButton="0" quotePrefix="0" xfId="0">
      <alignment horizontal="center" vertical="top"/>
    </xf>
    <xf numFmtId="0" fontId="7" fillId="2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/>
    </xf>
    <xf numFmtId="3" fontId="7" fillId="2" borderId="1" applyAlignment="1" pivotButton="0" quotePrefix="0" xfId="0">
      <alignment horizontal="center" vertical="top"/>
    </xf>
    <xf numFmtId="2" fontId="7" fillId="2" borderId="1" applyAlignment="1" pivotButton="0" quotePrefix="0" xfId="0">
      <alignment horizontal="center" vertical="top"/>
    </xf>
    <xf numFmtId="164" fontId="7" fillId="2" borderId="1" applyAlignment="1" pivotButton="0" quotePrefix="0" xfId="0">
      <alignment horizontal="center" vertical="top"/>
    </xf>
    <xf numFmtId="165" fontId="7" fillId="2" borderId="1" applyAlignment="1" pivotButton="0" quotePrefix="0" xfId="0">
      <alignment horizontal="center" vertical="top"/>
    </xf>
    <xf numFmtId="9" fontId="7" fillId="2" borderId="1" applyAlignment="1" pivotButton="0" quotePrefix="0" xfId="0">
      <alignment horizontal="center" vertical="top"/>
    </xf>
    <xf numFmtId="0" fontId="6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文件说明</t>
        </is>
      </c>
      <c r="B1" s="2" t="inlineStr"/>
    </row>
    <row r="2">
      <c r="A2" s="3" t="inlineStr">
        <is>
          <t>主题</t>
        </is>
      </c>
      <c r="B2" s="4" t="inlineStr">
        <is>
          <t>AK112（依沃西单抗）vs K药（帕博利珠单抗）同适应症、同期别配对分析</t>
        </is>
      </c>
    </row>
    <row r="3">
      <c r="A3" s="3" t="inlineStr">
        <is>
          <t>核心问题</t>
        </is>
      </c>
      <c r="B3" s="4" t="inlineStr">
        <is>
          <t>AK112 目前做成功了、而 K药 没成功的适应症有哪些（含早期临床，但要求同期别）</t>
        </is>
      </c>
    </row>
    <row r="4">
      <c r="A4" s="3" t="inlineStr">
        <is>
          <t>生成日期</t>
        </is>
      </c>
      <c r="B4" s="4" t="inlineStr">
        <is>
          <t>2026-09-05</t>
        </is>
      </c>
    </row>
    <row r="5">
      <c r="A5" s="3" t="inlineStr">
        <is>
          <t>数据来源</t>
        </is>
      </c>
      <c r="B5" s="4" t="inlineStr">
        <is>
          <t>同目录下《AK112_依沃西单抗_各适应症临床疗效汇总.xlsx》与《K药(帕博利珠单抗)全适应症临床疗效分档统计.xlsx》，并补充核实 KEYNOTE-651、KEYNOTE-086、KEYNOTE-100 等对应期别数据</t>
        </is>
      </c>
    </row>
    <row r="6">
      <c r="A6" s="3" t="inlineStr">
        <is>
          <t>配对条目数</t>
        </is>
      </c>
      <c r="B6" s="4" t="inlineStr">
        <is>
          <t>共 15 条（第一类 2 / 第二类 3 / 第三类 6 / 第四类 4）</t>
        </is>
      </c>
    </row>
    <row r="7">
      <c r="A7" s="3" t="inlineStr"/>
      <c r="B7" s="4" t="inlineStr"/>
    </row>
    <row r="8">
      <c r="A8" s="1" t="inlineStr">
        <is>
          <t>配对规则（严格度递减）</t>
        </is>
      </c>
      <c r="B8" s="2" t="inlineStr"/>
    </row>
    <row r="9">
      <c r="A9" s="3" t="inlineStr">
        <is>
          <t>第一类·完全对等</t>
        </is>
      </c>
      <c r="B9" s="4" t="inlineStr">
        <is>
          <t>瘤种 + 线数 + 期别 + 联合方案 + 对照设计 全部对等。AK112 达到预设终点、K药 未达。→ 唯一可作为结论使用</t>
        </is>
      </c>
    </row>
    <row r="10">
      <c r="A10" s="3" t="inlineStr">
        <is>
          <t>第二类·同期别但口径有差异</t>
        </is>
      </c>
      <c r="B10" s="4" t="inlineStr">
        <is>
          <t>瘤种/线数/期别对齐，但方案（单药 vs 联合）、样本量或对照类型存在实质差异。→ 只能作为假设，不能作为结论</t>
        </is>
      </c>
    </row>
    <row r="11">
      <c r="A11" s="3" t="inlineStr">
        <is>
          <t>第三类·K药 同适应症也成功</t>
        </is>
      </c>
      <c r="B11" s="4" t="inlineStr">
        <is>
          <t>不符合「K药 没成功」的筛选条件，但含 AK112 头对头击败 K药 的关键证据，价值反而更高，故单列</t>
        </is>
      </c>
    </row>
    <row r="12">
      <c r="A12" s="3" t="inlineStr">
        <is>
          <t>第四类·无法配对</t>
        </is>
      </c>
      <c r="B12" s="4" t="inlineStr">
        <is>
          <t>K药 机制上不适用、AK112 数据未公开、或期别相差过大，无法构成有效比较</t>
        </is>
      </c>
    </row>
    <row r="13">
      <c r="A13" s="3" t="inlineStr"/>
      <c r="B13" s="4" t="inlineStr"/>
    </row>
    <row r="14">
      <c r="A14" s="1" t="inlineStr">
        <is>
          <t>阅读顺序建议</t>
        </is>
      </c>
      <c r="B14" s="2" t="inlineStr"/>
    </row>
    <row r="15">
      <c r="A15" s="3" t="inlineStr">
        <is>
          <t>1</t>
        </is>
      </c>
      <c r="B15" s="4" t="inlineStr">
        <is>
          <t>先看「结论与跟踪清单」——已把可以下结论的与必须打折的分开写明</t>
        </is>
      </c>
    </row>
    <row r="16">
      <c r="A16" s="3" t="inlineStr">
        <is>
          <t>2</t>
        </is>
      </c>
      <c r="B16" s="4" t="inlineStr">
        <is>
          <t>再看「配对总表」——按「配对类别」筛选；「配对严格度」列的星级为可信度权重</t>
        </is>
      </c>
    </row>
    <row r="17">
      <c r="A17" s="3" t="inlineStr">
        <is>
          <t>3</t>
        </is>
      </c>
      <c r="B17" s="4" t="inlineStr">
        <is>
          <t>重点关注最后一列「口径差异与风险提示」——本表刻意把不利于 AK112 的信息与有利的并列，避免单边解读</t>
        </is>
      </c>
    </row>
    <row r="18">
      <c r="A18" s="3" t="inlineStr"/>
      <c r="B18" s="4" t="inlineStr"/>
    </row>
    <row r="19">
      <c r="A19" s="1" t="inlineStr">
        <is>
          <t>方法学警告</t>
        </is>
      </c>
      <c r="B19" s="2" t="inlineStr"/>
    </row>
    <row r="20">
      <c r="A20" s="3" t="inlineStr">
        <is>
          <t>·</t>
        </is>
      </c>
      <c r="B20" s="4" t="inlineStr">
        <is>
          <t>单臂 II 期的 ORR 与随机 III 期的 ORR/HR 不可直接比较（选择偏倚、样本量、判读标准均不同）</t>
        </is>
      </c>
    </row>
    <row r="21">
      <c r="A21" s="3" t="inlineStr">
        <is>
          <t>·</t>
        </is>
      </c>
      <c r="B21" s="4" t="inlineStr">
        <is>
          <t>不同试验的统计学界值（alpha）不同，P 值不可跨试验互比；本表已在关键处标注界值</t>
        </is>
      </c>
    </row>
    <row r="22">
      <c r="A22" s="3" t="inlineStr">
        <is>
          <t>·</t>
        </is>
      </c>
      <c r="B22" s="4" t="inlineStr">
        <is>
          <t>「+化疗」方案的 ORR 中含化疗自身贡献，与「单药」ORR 不可比。化疗骨架不同（mFOLFOX vs FOLFOXIRI）时亦不可比</t>
        </is>
      </c>
    </row>
    <row r="23">
      <c r="A23" s="3" t="inlineStr">
        <is>
          <t>·</t>
        </is>
      </c>
      <c r="B23" s="4" t="inlineStr">
        <is>
          <t>HARMONi-2、HARMONi-GI1 的 OS 目前仅有「达到显著」的公告，HR 与中位数未披露，无法核验</t>
        </is>
      </c>
    </row>
    <row r="24">
      <c r="A24" s="3" t="inlineStr">
        <is>
          <t>·</t>
        </is>
      </c>
      <c r="B24" s="4" t="inlineStr">
        <is>
          <t>本表为文献信息整理，不构成任何医疗建议或投资建议</t>
        </is>
      </c>
    </row>
    <row r="25">
      <c r="A25" s="3" t="inlineStr"/>
      <c r="B25" s="4" t="inlineStr"/>
    </row>
    <row r="26">
      <c r="A26" s="28" t="inlineStr">
        <is>
          <t>【2026-09-05 追加】反向配对：K药 成功而 AK112 失败</t>
        </is>
      </c>
      <c r="B26" s="2" t="inlineStr"/>
    </row>
    <row r="27">
      <c r="A27" s="3" t="inlineStr">
        <is>
          <t>新增工作表</t>
        </is>
      </c>
      <c r="B27" s="4" t="inlineStr">
        <is>
          <t>「反向配对总表(K药胜)」、「R1-完全对等(K药胜)」、「R2-头对头未证优效」、「R3-两者均未成功」、「K药独占-AK112空白清单」、「反向速览矩阵」</t>
        </is>
      </c>
    </row>
    <row r="28">
      <c r="A28" s="3" t="inlineStr">
        <is>
          <t>反向配对条目数</t>
        </is>
      </c>
      <c r="B28" s="4" t="inlineStr">
        <is>
          <t>11 条配对（R1 完全对等 4 / R2 头对头未证优效 1 / R3 两者均未成功 6）+ 14 条 K药 独占适应症</t>
        </is>
      </c>
    </row>
    <row r="29">
      <c r="A29" s="28" t="inlineStr">
        <is>
          <t>反向配对规则（严格度递减）</t>
        </is>
      </c>
      <c r="B29" s="2" t="inlineStr"/>
    </row>
    <row r="30">
      <c r="A30" s="3" t="inlineStr">
        <is>
          <t>R1·完全对等（K药胜/AK112败）</t>
        </is>
      </c>
      <c r="B30" s="4" t="inlineStr">
        <is>
          <t>瘤种 + 线数 + 期别 + 方案 对齐；K药 达终点并获批、AK112 未达或「完成后不披露数据且不推进 III 期」（隐性失败）。→ 4 条</t>
        </is>
      </c>
    </row>
    <row r="31">
      <c r="A31" s="3" t="inlineStr">
        <is>
          <t>R2·AK112 头对头未证优效</t>
        </is>
      </c>
      <c r="B31" s="4" t="inlineStr">
        <is>
          <t>K药 直接作为对照组，AK112 未能证明优效。注意这是「未能证优」而非「AK112 无效」。→ 1 条（HARMONi-3 鳞癌队列期中 PFS）</t>
        </is>
      </c>
    </row>
    <row r="32">
      <c r="A32" s="3" t="inlineStr">
        <is>
          <t>R3·两者均未成功</t>
        </is>
      </c>
      <c r="B32" s="4" t="inlineStr">
        <is>
          <t>双方在同瘤种同方案上都失败或都未获批。刻意列出以避免单边解读——K药 的失败不等于 AK112 的胜利，反之亦然。→ 6 条</t>
        </is>
      </c>
    </row>
    <row r="33">
      <c r="A33" s="3" t="inlineStr">
        <is>
          <t>R4·K药 成功而 AK112 空白</t>
        </is>
      </c>
      <c r="B33" s="4" t="inlineStr">
        <is>
          <t>AK112 从未开展或仅有 IIT 无读出。**这不是「AK112 失败」**，但反映适应症广度差距，故单独成表不混入配对。→ 14 条</t>
        </is>
      </c>
    </row>
    <row r="34">
      <c r="A34" s="3" t="inlineStr">
        <is>
          <t>「隐性失败」判定标准</t>
        </is>
      </c>
      <c r="B34" s="4" t="inlineStr">
        <is>
          <t>同时满足三条：①早期研究已 COMPLETED；②完成后 12 个月以上不披露任何疗效数据；③不推进 III 期，且改用其他方案在同瘤种重启。符合者：AK112-207（HCC）、AK112-203（妇科）</t>
        </is>
      </c>
    </row>
    <row r="35">
      <c r="A35" s="3" t="inlineStr"/>
      <c r="B35" s="4" t="inlineStr"/>
    </row>
    <row r="36">
      <c r="A36" s="28" t="inlineStr">
        <is>
          <t>【2026-09-05 追加】美国市场空间测算</t>
        </is>
      </c>
      <c r="B36" s="2" t="inlineStr"/>
    </row>
    <row r="37">
      <c r="A37" s="3" t="inlineStr">
        <is>
          <t>新增工作表</t>
        </is>
      </c>
      <c r="B37" s="4" t="inlineStr">
        <is>
          <t>「美国市场空间-配对适应症」（21 条）、「美国市场空间-K药独占领域」（13 条）、「美国测算口径与价格假设」</t>
        </is>
      </c>
    </row>
    <row r="38">
      <c r="A38" s="3" t="inlineStr">
        <is>
          <t>地域口径</t>
        </is>
      </c>
      <c r="B38" s="4" t="inlineStr">
        <is>
          <t>仅美国。发病数用 ACS《Cancer Statistics, 2026》Table 1 实测值；价格用 Merck 官方 WAC（2026-03）与 CMS Part B 净 ASP（J9271, Q3-2026）</t>
        </is>
      </c>
    </row>
    <row r="39">
      <c r="A39" s="3" t="inlineStr">
        <is>
          <t>价格双列</t>
        </is>
      </c>
      <c r="B39" s="4" t="inlineStr">
        <is>
          <t>标价（WAC）年化 $213,299；实付（净 ASP）年化 $198,881。美国二者仅差约 7%，因 K药 走 Part B buy-and-bill 而非 PBM 回扣体系</t>
        </is>
      </c>
    </row>
    <row r="40">
      <c r="A40" s="3" t="inlineStr">
        <is>
          <t>双情景</t>
        </is>
      </c>
      <c r="B40" s="4" t="inlineStr">
        <is>
          <t>天花板 = 全部符合条件患者 × 治疗时长 × 标价；现实情景 = 再乘治疗渗透率与竞争份额 × 治疗时长 × 实付净价</t>
        </is>
      </c>
    </row>
    <row r="41">
      <c r="A41" s="3" t="inlineStr">
        <is>
          <t>最关键的方法学点</t>
        </is>
      </c>
      <c r="B41" s="4" t="inlineStr">
        <is>
          <t>空间 = 患者数 × **平均治疗时长** × 年费用。多数晚期适应症治疗不满一年（ES-SCLC 0.45 年、间皮瘤 0.35 年），漏掉这一项会系统性高估 30–60%</t>
        </is>
      </c>
    </row>
    <row r="42">
      <c r="A42" s="3" t="inlineStr">
        <is>
          <t>必须自行替换的变量</t>
        </is>
      </c>
      <c r="B42" s="4" t="inlineStr">
        <is>
          <t>「现实情景可及患者」隐含的竞争份额假设（15%–45%，逐行标注）是全表最主观处，请按自己的判断替换后再使用</t>
        </is>
      </c>
    </row>
    <row r="43">
      <c r="A43" s="3" t="inlineStr">
        <is>
          <t>AK112 价格为占位值</t>
        </is>
      </c>
      <c r="B43" s="4" t="inlineStr">
        <is>
          <t>Summit 从未披露美国定价，本表按与 K药 净价平价假设。注意依沃西 20mg/kg（70kg 患者 1,400mg/次）是 K药 200mg 的约 7 倍蛋白量，COGS 更高，构成定价下限约束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8" customWidth="1" min="2" max="2"/>
  </cols>
  <sheetData>
    <row r="1">
      <c r="A1" s="5" t="inlineStr">
        <is>
          <t>条目</t>
        </is>
      </c>
      <c r="B1" s="5" t="inlineStr">
        <is>
          <t>内容</t>
        </is>
      </c>
    </row>
    <row r="2" ht="72" customHeight="1">
      <c r="A2" s="6" t="inlineStr">
        <is>
          <t>核心结论</t>
        </is>
      </c>
      <c r="B2" s="7" t="inlineStr">
        <is>
          <t>严格意义上「AK112 做成功、K药 同瘤种同线数同期别同类方案做失败」的只有 1 个适应症：EGFR-TKI 进展后 EGFR 突变非鳞 NSCLC + 培美曲塞/铂。AK112（HARMONi-A）PFS HR 0.46 + OS HR 0.74 双达标，K药（KEYNOTE-789）PFS HR 0.80、OS HR 0.84 双双未过界值。效应量差距是实的，不是踩线之差。</t>
        </is>
      </c>
    </row>
    <row r="3" ht="72" customHeight="1">
      <c r="A3" s="6" t="inlineStr">
        <is>
          <t>第一类的必要限定</t>
        </is>
      </c>
      <c r="B3" s="7" t="inlineStr">
        <is>
          <t>AK112 在这个适应症的胜出准确表述是「中国人群 OS 达标 + 全球人群 PFS 达标」。全球人群 OS（HARMONi）也失败了（HR 0.79，p=0.057）。FDA 已明确表态需统计学显著的 OS 才支持上市，PDUFA 2026/11/14 且存在 major amendment 触发延期的风险。</t>
        </is>
      </c>
    </row>
    <row r="4" ht="72" customHeight="1">
      <c r="A4" s="6" t="inlineStr">
        <is>
          <t>第二类要打折看</t>
        </is>
      </c>
      <c r="B4" s="7" t="inlineStr">
        <is>
          <t>MSS CRC：K药 KEYNOTE-651 队列 B 的 ORR 是 61%（不是 0–4%，0–4% 是单药数据），AK112 是 70.8%，n 分别 31 与 48，统计上无法区分。真正差异在「K药 判无优势后放弃、AK112 推进 600 例 III 期」这个开发决策，不在数据本身。同类随机试验 CheckMate 9X8 已在该人群失败。</t>
        </is>
      </c>
    </row>
    <row r="5" ht="72" customHeight="1">
      <c r="A5" s="6" t="inlineStr">
        <is>
          <t>第二类要打折看</t>
        </is>
      </c>
      <c r="B5" s="7" t="inlineStr">
        <is>
          <t>铂耐药卵巢癌：AK112 n=19 vs K药 n=376，可信度差 20 倍；且 AK112 自己也放弃了妇科单药方向（AK112-203 数据不公开、AK112-204 因入组失败终止）。正确结论是「两家都没走通」。</t>
        </is>
      </c>
    </row>
    <row r="6" ht="72" customHeight="1">
      <c r="A6" s="6" t="inlineStr">
        <is>
          <t>第二类唯一实在的点</t>
        </is>
      </c>
      <c r="B6" s="7" t="inlineStr">
        <is>
          <t>CPS&lt;10 / PD-L1 低表达 TNBC 是 K药 在 III 期层面确证无获益的人群（KEYNOTE-355 的 CPS≥1 与 ITT 未达显著、KEYNOTE-119 全人群 OS 失败），而 AK112 在该人群 II 期打出 ORR 79.3% / mPFS 13.0 m。这是 HARMONi-BC1（n=416）真正要验证的东西，也是第二类中最值得跟踪的一条。</t>
        </is>
      </c>
    </row>
    <row r="7" ht="72" customHeight="1">
      <c r="A7" s="6" t="inlineStr">
        <is>
          <t>被筛选条件漏掉的最强资产</t>
        </is>
      </c>
      <c r="B7" s="7" t="inlineStr">
        <is>
          <t>HARMONi-2：全球首个单药头对头 PFS 优效于 K药 的随机双盲 III 期（PFS HR 0.51），2026/9/2 宣布 OS 期中亦达显著。这条恰恰不在「K药 没成功」的筛选范围内，因为 K药 在一线 PD-L1+ NSCLC 是成功获批的。但「击败活性对照」的证据强度高于「对手在别处失败」。</t>
        </is>
      </c>
    </row>
    <row r="8" ht="72" customHeight="1">
      <c r="A8" s="6" t="inlineStr">
        <is>
          <t>对照强度的系统性差异</t>
        </is>
      </c>
      <c r="B8" s="7" t="inlineStr">
        <is>
          <t>AK112 的三个头对头 III 期打的都是已上市活性药（K药、替雷利珠+化疗、度伐利尤+化疗），而 K药 的多数注册试验打的是安慰剂+化疗。这是 AK112 数据的真实优势，但也意味着 AK112 的适应症数量远少于 K药（4 个 vs 20+ 个）。</t>
        </is>
      </c>
    </row>
    <row r="9" ht="72" customHeight="1">
      <c r="A9" s="6" t="inlineStr">
        <is>
          <t>不应计入的两条</t>
        </is>
      </c>
      <c r="B9" s="7" t="inlineStr">
        <is>
          <t>①IO 耐药后 NSCLC：K药 机制上不适用（它自己就是耐药源），不是「K药 失败」；②胰腺癌：K药 ORR 0% 完败，但 AK112 的 II 期数据至今未公开，999 例 III 期只是开发决策，不构成数据证据。</t>
        </is>
      </c>
    </row>
    <row r="10" ht="72" customHeight="1">
      <c r="A10" s="6" t="inlineStr">
        <is>
          <t>跟踪清单（决定成败的时间点）</t>
        </is>
      </c>
      <c r="B10" s="7" t="inlineStr">
        <is>
          <t>①HARMONi PDUFA 2026/11/14（及可能的 3 个月延期）；②HARMONi-3 鳞癌队列最终 PFS + OS 早期期中（2026 H2）、独立 OS 期中（2027 H1）、非鳞队列 PFS（2027 H1）；③HARMONi-2 OS 的 HR 与中位数披露；④HARMONi-GI1 完整数据披露；⑤HARMONi-BC1（CPS&lt;10 TNBC）与 HARMONi-GI3（MSS CRC）随机读出；⑥AK112-210 胰腺癌 II 期数据是否披露。</t>
        </is>
      </c>
    </row>
    <row r="11" ht="88" customHeight="1">
      <c r="A11" s="29" t="inlineStr">
        <is>
          <t>【反向】核心结论</t>
        </is>
      </c>
      <c r="B11" s="7" t="inlineStr">
        <is>
          <t>「K药 成功、AK112 同期别失败」严格成立的有 4 个适应症，全部集中在单药路线：①HCC 单药（AK112-207 完成后不披露、无 III 期，K药 KEYNOTE-224 ORR 17% 获批）；②晚期宫颈癌单药（AK112-203 不披露，K药 KEYNOTE-158 队列 E ORR 12.2–14.6% 获批）；③子宫内膜癌单药（K药 dMMR 富集后 ORR 48–50% 获批，AK112 仅个别 PR）；④一线 R/M HNSCC 单药（K药 KEYNOTE-012 ORR 18% → KEYNOTE-048 CPS≥20 OS HR 0.61，AK112 CPS≥20 ORR 0% 路线废弃）。</t>
        </is>
      </c>
    </row>
    <row r="12" ht="88" customHeight="1">
      <c r="A12" s="29" t="inlineStr">
        <is>
          <t>【反向】唯一实质性反向机制信号</t>
        </is>
      </c>
      <c r="B12" s="7" t="inlineStr">
        <is>
          <t>HNSCC 一线单药中 AK112 的 CPS≥20 亚组 ORR 0%（CPS 1–20 为 75%），与 K药「CPS 越高获益越大」（KEYNOTE-048 CPS≥20 OS HR 0.61）方向性相反。但 n=10 且剂量仅 10mg/kg（低于推荐 20mg/kg），无法定论。这是全表最值得追踪的机制疑点。</t>
        </is>
      </c>
    </row>
    <row r="13" ht="88" customHeight="1">
      <c r="A13" s="29" t="inlineStr">
        <is>
          <t>【反向】最需警惕的一条</t>
        </is>
      </c>
      <c r="B13" s="7" t="inlineStr">
        <is>
          <t>HARMONi-3 鳞癌队列期中 PFS 未达界值，与 HARMONi-6（同为鳞癌、OS HR 0.66 成功）构成内部矛盾。差异变量有两个：对照药（K药+化疗 vs 替雷利珠+化疗）与人群（全球 vs 全中国）。若最终读出仍不利，说明 AK112 的优势可能建立在「对照选择」而非绝对疗效上——这是整个 AK112 投资逻辑的核心风险点。</t>
        </is>
      </c>
    </row>
    <row r="14" ht="88" customHeight="1">
      <c r="A14" s="29" t="inlineStr">
        <is>
          <t>【反向】必须打折的一条</t>
        </is>
      </c>
      <c r="B14" s="7" t="inlineStr">
        <is>
          <t>子宫内膜癌那条的差异主要来自「分子选择策略」而非药物强弱：K药 在未富集人群（KEYNOTE-028 Ib）ORR 也只有 13%，与 AK112 的个别 PR 量级相近。AK112 从未做 dMMR 富集队列，人群不可比。</t>
        </is>
      </c>
    </row>
    <row r="15" ht="88" customHeight="1">
      <c r="A15" s="29" t="inlineStr">
        <is>
          <t>【反向】不应计入 K药 胜出的 6 条</t>
        </is>
      </c>
      <c r="B15" s="7" t="inlineStr">
        <is>
          <t>EGFR-TKI 后全球 OS（双方均败）、铂耐药卵巢癌单药（K药 ORR 8%、AK112 26.3%，双方均放弃）、卵巢癌+PARP（AK112 因入组失败终止，非疗效阴性；K药 TOPACIO ORR 18% 亦未获批）、MSS CRC 单药（K药 0% 更差）、胸膜间皮瘤（K药 数据更完整但 III 期失败未获批）、肛管癌（K药 ORR 11% 未获批）。</t>
        </is>
      </c>
    </row>
    <row r="16" ht="88" customHeight="1">
      <c r="A16" s="29" t="inlineStr">
        <is>
          <t>【双向】整体格局</t>
        </is>
      </c>
      <c r="B16" s="7" t="inlineStr">
        <is>
          <t>AK112 的战绩集中且深（4 个随机确证适应症，其中 3 个头对头击败已上市活性药，全在 NSCLC + 胆道癌）；K药 的战绩广而浅（20+ 个适应症，多数 vs 安慰剂+化疗，其中 4 个加速批准事后被撤回）。AK112 的失败集中在「单药路线」与「妇科/肝癌等冷肿瘤」，K药 的失败集中在「免疫荒漠瘤种」与「术后单纯辅助」。两者失败区高度重叠，说明 VEGF 端带来的增益主要在肺癌与部分消化道瘤种，并未改变 PD-1 类药物的基本适用边界。</t>
        </is>
      </c>
    </row>
    <row r="17" ht="88" customHeight="1">
      <c r="A17" s="29" t="inlineStr">
        <is>
          <t>【双向】方法学再次提醒</t>
        </is>
      </c>
      <c r="B17" s="7" t="inlineStr">
        <is>
          <t>本表把「AK112 完成早期研究后不披露数据且不推进 III 期」判为隐性失败（AK112-207、AK112-203）。这是基于行为的推断，不是基于数据的证据。若日后康方披露这些数据，相关条目需要重新评级。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20" customWidth="1" min="4" max="4"/>
    <col width="30" customWidth="1" min="5" max="5"/>
    <col width="30" customWidth="1" min="6" max="6"/>
    <col width="30" customWidth="1" min="7" max="7"/>
    <col width="8" customWidth="1" min="8" max="8"/>
    <col width="60" customWidth="1" min="9" max="9"/>
    <col width="28" customWidth="1" min="10" max="10"/>
    <col width="30" customWidth="1" min="11" max="11"/>
    <col width="8" customWidth="1" min="12" max="12"/>
    <col width="60" customWidth="1" min="13" max="13"/>
    <col width="30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43" t="n">
        <v>1</v>
      </c>
      <c r="B2" s="10" t="inlineStr">
        <is>
          <t>第一类·完全对等</t>
        </is>
      </c>
      <c r="C2" s="11" t="inlineStr">
        <is>
          <t>★★★★★ 瘤种/线数/期别/联合方案/对照设计 全部对等</t>
        </is>
      </c>
      <c r="D2" s="44" t="inlineStr">
        <is>
          <t>NSCLC（非鳞，EGFR 突变）</t>
        </is>
      </c>
      <c r="E2" s="11" t="inlineStr">
        <is>
          <t>EGFR-TKI 进展后 二线，联合培美曲塞+铂</t>
        </is>
      </c>
      <c r="F2" s="13" t="inlineStr">
        <is>
          <t>依沃西 20mg/kg + 培美曲塞 + 卡铂</t>
        </is>
      </c>
      <c r="G2" s="13" t="inlineStr">
        <is>
          <t>HARMONi-A / AK112-301（NCT05184712，n=322，中国）</t>
        </is>
      </c>
      <c r="H2" s="33" t="inlineStr">
        <is>
          <t>III</t>
        </is>
      </c>
      <c r="I2" s="13" t="inlineStr">
        <is>
          <t>PFS 7.06 vs 4.80 m，HR 0.46（0.34–0.62），p&lt;0.0001 ✅；ORR 50.6% vs 35.4%；最终 OS 16.8 vs 14.1 m，HR 0.74（0.58–0.95），p=0.019 ✅；30 个月生存率 29.1% vs 18.4%</t>
        </is>
      </c>
      <c r="J2" s="15" t="inlineStr">
        <is>
          <t>pembrolizumab 200mg + 培美曲塞 + 卡铂/顺铂</t>
        </is>
      </c>
      <c r="K2" s="15" t="inlineStr">
        <is>
          <t>KEYNOTE-789（NCT03515837，n=492，全球）</t>
        </is>
      </c>
      <c r="L2" s="34" t="inlineStr">
        <is>
          <t>III</t>
        </is>
      </c>
      <c r="M2" s="15" t="inlineStr">
        <is>
          <t>PFS 5.6 vs 5.5 m，HR 0.80（0.65–0.97），p=0.0122，未过界值 0.0117 ❌；OS 15.9 vs 14.7 m，HR 0.84（0.69–1.02），p=0.0362，未过界值 0.0118 ❌；ORR 29.0% vs 27.1%（几乎无差）</t>
        </is>
      </c>
      <c r="N2" s="17" t="inlineStr">
        <is>
          <t>AK112 双终点达标 / K药 双终点全失</t>
        </is>
      </c>
      <c r="O2" s="11" t="inlineStr">
        <is>
          <t>本表唯一站得住的硬结论。效应量差距是实的（PFS HR 0.46 vs 0.80），非踩线之差。注意 AK112 的 G≥3 TEAE 67.1% vs 54.7%，毒性同步上升</t>
        </is>
      </c>
    </row>
    <row r="3">
      <c r="A3" s="43" t="n">
        <v>2</v>
      </c>
      <c r="B3" s="10" t="inlineStr">
        <is>
          <t>第一类·完全对等</t>
        </is>
      </c>
      <c r="C3" s="11" t="inlineStr">
        <is>
          <t>★★★★☆ 同上，但仅 PFS 达标（全球人群）</t>
        </is>
      </c>
      <c r="D3" s="44" t="inlineStr">
        <is>
          <t>NSCLC（非鳞，EGFR 突变）</t>
        </is>
      </c>
      <c r="E3" s="11" t="inlineStr">
        <is>
          <t>EGFR-TKI 进展后 二线，联合培美曲塞+铂（全球多中心）</t>
        </is>
      </c>
      <c r="F3" s="13" t="inlineStr">
        <is>
          <t>依沃西 20mg/kg + 培美曲塞 + 卡铂</t>
        </is>
      </c>
      <c r="G3" s="13" t="inlineStr">
        <is>
          <t>HARMONi（NCT06395065，n=345 主分析 / 438 长期）</t>
        </is>
      </c>
      <c r="H3" s="33" t="inlineStr">
        <is>
          <t>III</t>
        </is>
      </c>
      <c r="I3" s="13" t="inlineStr">
        <is>
          <t>PFS 6.8 vs 4.4 m，HR 0.52（0.41–0.66），p&lt;0.0001 ✅；研究者评估 HR 0.58；LTF 分析 HR 0.57。但 OS 主终点未达（HR 0.79，p=0.057）❌</t>
        </is>
      </c>
      <c r="J3" s="15" t="inlineStr">
        <is>
          <t>同上</t>
        </is>
      </c>
      <c r="K3" s="15" t="inlineStr">
        <is>
          <t>KEYNOTE-789</t>
        </is>
      </c>
      <c r="L3" s="34" t="inlineStr">
        <is>
          <t>III</t>
        </is>
      </c>
      <c r="M3" s="15" t="inlineStr">
        <is>
          <t>PFS HR 0.80，p=0.0122 未达 ❌</t>
        </is>
      </c>
      <c r="N3" s="17" t="inlineStr">
        <is>
          <t>PFS 层面 AK112 胜 / K药 败；OS 层面双方均失败</t>
        </is>
      </c>
      <c r="O3" s="11" t="inlineStr">
        <is>
          <t>必须同时说清：AK112 在全球人群的 OS 也失败了（HR 0.79→0.78，nominal p=0.0332 但 α 已用尽）。所以 AK112 在该适应症的胜出 = 中国人群 OS + 全球人群 PFS，不是全球 OS。PDUFA 2026/11/14 存在延期风险</t>
        </is>
      </c>
    </row>
    <row r="4">
      <c r="A4" s="43" t="n">
        <v>3</v>
      </c>
      <c r="B4" s="35" t="inlineStr">
        <is>
          <t>第二类·同期别但口径有差异</t>
        </is>
      </c>
      <c r="C4" s="11" t="inlineStr">
        <is>
          <t>★★★☆☆ 同瘤种/同线数/同期别/同类方案，但样本小、差距不显著</t>
        </is>
      </c>
      <c r="D4" s="44" t="inlineStr">
        <is>
          <t>结直肠癌（MSS/pMMR）</t>
        </is>
      </c>
      <c r="E4" s="11" t="inlineStr">
        <is>
          <t>一线转移性，联合奥沙利铂类化疗</t>
        </is>
      </c>
      <c r="F4" s="13" t="inlineStr">
        <is>
          <t>依沃西 10 或 20mg/kg + mFOLFOX6（全球队列）；依沃西 + FOLFOXIRI（中国部分）</t>
        </is>
      </c>
      <c r="G4" s="13" t="inlineStr">
        <is>
          <t>AK112-206（NCT05382442），全球 n=48 / 中国 n=22</t>
        </is>
      </c>
      <c r="H4" s="33" t="inlineStr">
        <is>
          <t>II</t>
        </is>
      </c>
      <c r="I4" s="13" t="inlineStr">
        <is>
          <t>全球队列（+mFOLFOX6）ORR 70.8%，DCR 100%，9 个月 PFS 率 76.1%（20mg/kg）；中国部分（+FOLFOXIRI）ORR 81.8%，DCR 100%，mPFS 未达。已启动 III 期 AK112-312 / HARMONi-GI3（n=600，vs 贝伐+FOLFOX）</t>
        </is>
      </c>
      <c r="J4" s="15" t="inlineStr">
        <is>
          <t>pembrolizumab 200mg + mFOLFOX7</t>
        </is>
      </c>
      <c r="K4" s="15" t="inlineStr">
        <is>
          <t>KEYNOTE-651 队列 B（NCT03374254，n=31）</t>
        </is>
      </c>
      <c r="L4" s="34" t="inlineStr">
        <is>
          <t>Ib</t>
        </is>
      </c>
      <c r="M4" s="15" t="inlineStr">
        <is>
          <t>ORR 61%（19/31；KRAS WT 10/14=71%，KRAS mut 9/17=53%）。官方与文献判定：与化疗（±贝伐/西妥昔）历史预期相当，未显示优势 → 停在 Ib 期，未推进 III 期</t>
        </is>
      </c>
      <c r="N4" s="17" t="inlineStr">
        <is>
          <t>AK112 推进 III 期 / K药 判无优势后放弃</t>
        </is>
      </c>
      <c r="O4" s="11" t="inlineStr">
        <is>
          <t>【重要修正】70.8% vs 61%，n 分别 48 与 31，统计上无法区分。真正差异在开发决策而非数据。同类随机试验 CheckMate 9X8（nivo+化疗）已在 MSS CRC 失败，HARMONi-GI3 面对的是此前 0/N 的赛道。AK112 用的 FOLFOXIRI 三药本身 ORR 即约 60–65%，81.8% 的增量更小</t>
        </is>
      </c>
    </row>
    <row r="5">
      <c r="A5" s="43" t="n">
        <v>4</v>
      </c>
      <c r="B5" s="35" t="inlineStr">
        <is>
          <t>第二类·同期别但口径有差异</t>
        </is>
      </c>
      <c r="C5" s="11" t="inlineStr">
        <is>
          <t>★★★☆☆ 同瘤种/同线数/同期别，但方案不对等（联合 vs 单药）</t>
        </is>
      </c>
      <c r="D5" s="44" t="inlineStr">
        <is>
          <t>三阴性乳腺癌（TNBC）</t>
        </is>
      </c>
      <c r="E5" s="11" t="inlineStr">
        <is>
          <t>一线局晚不可切/转移性，尤其 PD-L1 CPS&lt;10 人群</t>
        </is>
      </c>
      <c r="F5" s="13" t="inlineStr">
        <is>
          <t>依沃西 + 紫杉醇或白蛋白紫杉醇</t>
        </is>
      </c>
      <c r="G5" s="13" t="inlineStr">
        <is>
          <t>AK117-203 依沃西队列（NCT05227664，n=36）</t>
        </is>
      </c>
      <c r="H5" s="33" t="inlineStr">
        <is>
          <t>II</t>
        </is>
      </c>
      <c r="I5" s="13" t="inlineStr">
        <is>
          <t>ORR 80.0%，DCR 100%，mDOR 12.2 m，mPFS 15.2 m，12 个月 PFS 率 56.3%。CPS≥10：ORR 83.3%、mPFS 15.9 m；CPS&lt;10：ORR 79.3%、mPFS 13.0 m（该队列 83.3% 为 CPS&lt;10）。已获 CDE 突破性疗法认定；III 期 HARMONi-BC1（n=416）进行中</t>
        </is>
      </c>
      <c r="J5" s="15" t="inlineStr">
        <is>
          <t>pembrolizumab 单药（同期别仅有单药数据）</t>
        </is>
      </c>
      <c r="K5" s="15" t="inlineStr">
        <is>
          <t>KEYNOTE-086 队列 B（一线 PD-L1+，n=84）/ 队列 A（二线+，n=170）</t>
        </is>
      </c>
      <c r="L5" s="34" t="inlineStr">
        <is>
          <t>II</t>
        </is>
      </c>
      <c r="M5" s="15" t="inlineStr">
        <is>
          <t>队列 B（一线 PD-L1+ 单药）ORR 21.4%（13.9–31.4）；队列 A（二线+ 单药）ORR 5.3%，mPFS 2.0 m，DCR 仅 7.6%。III 期层面：KEYNOTE-355 仅 CPS≥10 达标（OS HR 0.73），CPS≥1 与 ITT 未达显著；KEYNOTE-119（全人群 2/3L）OS 失败 ❌</t>
        </is>
      </c>
      <c r="N5" s="17" t="inlineStr">
        <is>
          <t>CPS&lt;10 人群：K药 III 期明确无获益 / AK112 II 期强信号</t>
        </is>
      </c>
      <c r="O5" s="11" t="inlineStr">
        <is>
          <t>口径缺陷：AK112 为「+化疗」，K药 同期别仅有「单药」数据，ORR 不可直接比（K药「+化疗」直接跳到 III 期 KEYNOTE-355）。但「CPS&lt;10 / PD-L1 低表达 TNBC 是 K药 在 III 期确证失败的人群」这一点是实的，也正是 HARMONi-BC1 要验证的核心</t>
        </is>
      </c>
    </row>
    <row r="6">
      <c r="A6" s="43" t="n">
        <v>5</v>
      </c>
      <c r="B6" s="35" t="inlineStr">
        <is>
          <t>第二类·同期别但口径有差异</t>
        </is>
      </c>
      <c r="C6" s="11" t="inlineStr">
        <is>
          <t>★★☆☆☆ 同瘤种/同线数/同方案（单药），但样本量差 20 倍</t>
        </is>
      </c>
      <c r="D6" s="44" t="inlineStr">
        <is>
          <t>卵巢癌 / 输卵管 / 原发腹膜癌</t>
        </is>
      </c>
      <c r="E6" s="11" t="inlineStr">
        <is>
          <t>铂耐药复发，单药</t>
        </is>
      </c>
      <c r="F6" s="13" t="inlineStr">
        <is>
          <t>依沃西 10 或 20mg/kg Q2W 单药</t>
        </is>
      </c>
      <c r="G6" s="13" t="inlineStr">
        <is>
          <t>AK112-101（NCT04047290）Ia 扩展，n=19</t>
        </is>
      </c>
      <c r="H6" s="33" t="inlineStr">
        <is>
          <t>Ia</t>
        </is>
      </c>
      <c r="I6" s="13" t="inlineStr">
        <is>
          <t>ORR 26.3%（5/19，均 PR）；20mg/kg 30.0% vs 10mg/kg 14.3%；9 例 PFS&gt;6 m；4 例既往用过贝伐者 SD&gt;12 m。68.4% 为 ≥3 线经治</t>
        </is>
      </c>
      <c r="J6" s="15" t="inlineStr">
        <is>
          <t>pembrolizumab 200mg 单药</t>
        </is>
      </c>
      <c r="K6" s="15" t="inlineStr">
        <is>
          <t>KEYNOTE-100（n=376）；KEYNOTE-028 卵巢队列（n=26）</t>
        </is>
      </c>
      <c r="L6" s="34" t="inlineStr">
        <is>
          <t>II / Ib</t>
        </is>
      </c>
      <c r="M6" s="15" t="inlineStr">
        <is>
          <t>KEYNOTE-100（II 期，n=376）ORR 8.0%，DCR 37.2%，mPFS 2.1 m；KEYNOTE-028（Ib）ORR 约 11.5%。均未获批，方向放弃 ❌</t>
        </is>
      </c>
      <c r="N6" s="17" t="inlineStr">
        <is>
          <t>数字上 AK112 更高，但两家最终都放弃</t>
        </is>
      </c>
      <c r="O6" s="11" t="inlineStr">
        <is>
          <t>【最弱的一条】n=19 vs n=376，可信度悬殊 20 倍。且 AK112 自己也未推进注册路径：AK112-203（妇科单药 n=53）数据至今不公开、AK112-204（+PARP）因入组率过低 TERMINATED。正确结论是「两家都没走通」，不是「AK112 赢了」</t>
        </is>
      </c>
    </row>
    <row r="7">
      <c r="A7" s="43" t="n">
        <v>6</v>
      </c>
      <c r="B7" s="19" t="inlineStr">
        <is>
          <t>第三类·K药同适应症也成功</t>
        </is>
      </c>
      <c r="C7" s="11" t="inlineStr">
        <is>
          <t>不符合筛选条件，但价值最高：K药 被头对头击败</t>
        </is>
      </c>
      <c r="D7" s="44" t="inlineStr">
        <is>
          <t>NSCLC</t>
        </is>
      </c>
      <c r="E7" s="11" t="inlineStr">
        <is>
          <t>一线 PD-L1 阳性（TPS≥1%）局晚/转移性，单药</t>
        </is>
      </c>
      <c r="F7" s="13" t="inlineStr">
        <is>
          <t>依沃西 20mg/kg 单药</t>
        </is>
      </c>
      <c r="G7" s="13" t="inlineStr">
        <is>
          <t>HARMONi-2 / AK112-303（NCT05499390，n=398）</t>
        </is>
      </c>
      <c r="H7" s="33" t="inlineStr">
        <is>
          <t>III</t>
        </is>
      </c>
      <c r="I7" s="13" t="inlineStr">
        <is>
          <t>PFS 11.14 vs 5.82 m，HR 0.51（0.38–0.69），p&lt;0.0001 ✅。亚组：鳞 0.50 / 非鳞 0.55；TPS 1–49% 0.54 / TPS≥50% 0.48；肝转 0.47；脑转 0.55。2026/9/2 宣布 OS 期中分析达统计学显著（HR 与中位数未披露）</t>
        </is>
      </c>
      <c r="J7" s="15" t="inlineStr">
        <is>
          <t>pembrolizumab 200mg Q3W 单药（作为本试验对照组）</t>
        </is>
      </c>
      <c r="K7" s="15" t="inlineStr">
        <is>
          <t>KEYNOTE-024（TPS≥50%）/ KEYNOTE-042（TPS≥1%）</t>
        </is>
      </c>
      <c r="L7" s="34" t="inlineStr">
        <is>
          <t>III</t>
        </is>
      </c>
      <c r="M7" s="15" t="inlineStr">
        <is>
          <t>KEYNOTE-024：OS 26.3 vs 13.4 m，HR 0.62，5 年 OS 31.9% vs 16.3% ✅ 获批；KEYNOTE-042：TPS≥1% OS HR 0.81 ✅ 获批。K药 在该适应症是成功的，但在 HARMONi-2 中作为活性对照被击败</t>
        </is>
      </c>
      <c r="N7" s="17" t="inlineStr">
        <is>
          <t>K药 成功获批，但被 AK112 头对头优效</t>
        </is>
      </c>
      <c r="O7" s="11" t="inlineStr">
        <is>
          <t>性质比「K药失败」更强：全球首个单药头对头优效 K药 的随机双盲 III 期。风险点：2025/4 曾披露 39% 成熟度 OS HR 0.777（当时 α 仅 0.0001 未达显著）引发股价大跌；OS 具体 HR 至今未披露；全为中国人群</t>
        </is>
      </c>
    </row>
    <row r="8">
      <c r="A8" s="43" t="n">
        <v>7</v>
      </c>
      <c r="B8" s="19" t="inlineStr">
        <is>
          <t>第三类·K药同适应症也成功</t>
        </is>
      </c>
      <c r="C8" s="11" t="inlineStr">
        <is>
          <t>两者均成功，未头对头</t>
        </is>
      </c>
      <c r="D8" s="44" t="inlineStr">
        <is>
          <t>NSCLC（鳞）</t>
        </is>
      </c>
      <c r="E8" s="11" t="inlineStr">
        <is>
          <t>一线晚期，联合含铂化疗</t>
        </is>
      </c>
      <c r="F8" s="13" t="inlineStr">
        <is>
          <t>依沃西 20mg/kg + 紫杉醇 175 + 卡铂 AUC5 ×4 后维持</t>
        </is>
      </c>
      <c r="G8" s="13" t="inlineStr">
        <is>
          <t>HARMONi-6 / AK112-306（NCT05840016，n=532）</t>
        </is>
      </c>
      <c r="H8" s="33" t="inlineStr">
        <is>
          <t>III</t>
        </is>
      </c>
      <c r="I8" s="13" t="inlineStr">
        <is>
          <t>PFS 11.1 vs 6.9 m，HR 0.60，p&lt;0.0001 ✅；OS 27.9 vs 23.7 m，HR 0.66（0.50–0.87），单侧 p=0.0017（界值 0.0049）✅。TPS&lt;1% OS HR 0.64；TPS≥1% 0.68。对照为替雷利珠单抗+同方案化疗</t>
        </is>
      </c>
      <c r="J8" s="15" t="inlineStr">
        <is>
          <t>pembrolizumab + 卡铂 + 紫杉醇/白蛋白紫杉醇</t>
        </is>
      </c>
      <c r="K8" s="15" t="inlineStr">
        <is>
          <t>KEYNOTE-407（n=559）</t>
        </is>
      </c>
      <c r="L8" s="34" t="inlineStr">
        <is>
          <t>III</t>
        </is>
      </c>
      <c r="M8" s="15" t="inlineStr">
        <is>
          <t>OS 17.1 vs 11.6 m，HR 0.64 ✅ 获批</t>
        </is>
      </c>
      <c r="N8" s="17" t="inlineStr">
        <is>
          <t>两者都成功；AK112 击败的是替雷利珠+化疗，非 K药</t>
        </is>
      </c>
      <c r="O8" s="11" t="inlineStr">
        <is>
          <t>AK112 的 OS HR 0.66（vs 替雷利珠+化疗）与 K药 的 0.64（vs 化疗）不可直接比——对照组不同。AK112 的价值在于「首个 OS 优效于 PD-1+化疗 的 III 期」。风险：PFS 优势由 2025/2 切点的 40% 降至 2025/9 切点的 28%；G≥3 出血 3% vs 1%</t>
        </is>
      </c>
    </row>
    <row r="9">
      <c r="A9" s="43" t="n">
        <v>8</v>
      </c>
      <c r="B9" s="19" t="inlineStr">
        <is>
          <t>第三类·K药同适应症也成功</t>
        </is>
      </c>
      <c r="C9" s="11" t="inlineStr">
        <is>
          <t>两者均成功，对照强度差一个量级</t>
        </is>
      </c>
      <c r="D9" s="44" t="inlineStr">
        <is>
          <t>胆道癌（BTC）</t>
        </is>
      </c>
      <c r="E9" s="11" t="inlineStr">
        <is>
          <t>一线不可切除局晚/转移性，联合吉西他滨+顺铂</t>
        </is>
      </c>
      <c r="F9" s="13" t="inlineStr">
        <is>
          <t>依沃西 + 吉西他滨 1000 + 顺铂 25（D1/D8 Q3W ×8）</t>
        </is>
      </c>
      <c r="G9" s="13" t="inlineStr">
        <is>
          <t>HARMONi-GI1 / AK112-309（NCT06591520，n=682）</t>
        </is>
      </c>
      <c r="H9" s="33" t="inlineStr">
        <is>
          <t>III</t>
        </is>
      </c>
      <c r="I9" s="13" t="inlineStr">
        <is>
          <t>2026/8/25 IDMC 期中分析：OS 主终点达统计学与临床意义显著 ✅，PFS 与 ORR 关键次要终点同时达标。HR、中位 OS、安全性均未披露。对照为度伐利尤单抗 1500mg + 同方案化疗（TOPAZ-1 方案）</t>
        </is>
      </c>
      <c r="J9" s="15" t="inlineStr">
        <is>
          <t>pembrolizumab + 吉西他滨 + 顺铂</t>
        </is>
      </c>
      <c r="K9" s="15" t="inlineStr">
        <is>
          <t>KEYNOTE-966（n=1069）</t>
        </is>
      </c>
      <c r="L9" s="34" t="inlineStr">
        <is>
          <t>III</t>
        </is>
      </c>
      <c r="M9" s="15" t="inlineStr">
        <is>
          <t>OS 12.7 vs 10.9 m，HR 0.83 ✅ 获批，但绝对获益不足 2 个月</t>
        </is>
      </c>
      <c r="N9" s="17" t="inlineStr">
        <is>
          <t>两者都成功；AK112 打的是活性药，K药 打的是安慰剂</t>
        </is>
      </c>
      <c r="O9" s="11" t="inlineStr">
        <is>
          <t>对照强度差异关键：AK112 头对头击败已上市 PD-L1（度伐利尤+化疗），K药 只是击败安慰剂+化疗且幅度很小。但 AK112 数据一个都没披露，目前只有公告，无法核验；也尚未获批该适应症</t>
        </is>
      </c>
    </row>
    <row r="10">
      <c r="A10" s="43" t="n">
        <v>9</v>
      </c>
      <c r="B10" s="19" t="inlineStr">
        <is>
          <t>第三类·K药同适应症也成功</t>
        </is>
      </c>
      <c r="C10" s="11" t="inlineStr">
        <is>
          <t>K药 已 III 期成功，AK112 仅 II 期单臂</t>
        </is>
      </c>
      <c r="D10" s="44" t="inlineStr">
        <is>
          <t>NSCLC</t>
        </is>
      </c>
      <c r="E10" s="11" t="inlineStr">
        <is>
          <t>可切除 II–IIIB(N2) 期 围手术期（新辅助+辅助）</t>
        </is>
      </c>
      <c r="F10" s="13" t="inlineStr">
        <is>
          <t>依沃西单药（20/30mg/kg）或 依沃西+化疗</t>
        </is>
      </c>
      <c r="G10" s="13" t="inlineStr">
        <is>
          <t>AK112-205（NCT05247684，n=60）</t>
        </is>
      </c>
      <c r="H10" s="33" t="inlineStr">
        <is>
          <t>II</t>
        </is>
      </c>
      <c r="I10" s="13" t="inlineStr">
        <is>
          <t>单药（n=20）pCR 30%、MPR 60%；+化疗（n=39→55）pCR 43.6%→52.7%、MPR 71.8%→72.7%；鳞癌 pCR 63.6%、MPR 84.1%。EFS 均未达成熟</t>
        </is>
      </c>
      <c r="J10" s="15" t="inlineStr">
        <is>
          <t>pembrolizumab + 铂类双药 新辅助 → 手术 → 辅助 pembrolizumab</t>
        </is>
      </c>
      <c r="K10" s="15" t="inlineStr">
        <is>
          <t>KEYNOTE-671（n=797）</t>
        </is>
      </c>
      <c r="L10" s="34" t="inlineStr">
        <is>
          <t>III</t>
        </is>
      </c>
      <c r="M10" s="15" t="inlineStr">
        <is>
          <t>pCR 18.1% vs 4.0%；EFS HR 0.58；OS HR 0.72 ✅ 获批</t>
        </is>
      </c>
      <c r="N10" s="17" t="inlineStr">
        <is>
          <t>K药 已成功；期别不对等（II 单臂 vs III 随机）</t>
        </is>
      </c>
      <c r="O10" s="11" t="inlineStr">
        <is>
          <t>pCR 43.6–52.7% vs 18.1% 的数字差距很大，但单臂 II 期与随机 III 期不可直接比（选择偏倚、样本量、pCR 判读标准均不同）。AK112 无围手术期 III 期，EFS/OS 完全未知，目前仅有 IIT</t>
        </is>
      </c>
    </row>
    <row r="11">
      <c r="A11" s="43" t="n">
        <v>10</v>
      </c>
      <c r="B11" s="19" t="inlineStr">
        <is>
          <t>第三类·K药同适应症也成功</t>
        </is>
      </c>
      <c r="C11" s="11" t="inlineStr">
        <is>
          <t>K药 已 III 期成功，AK112 仅单中心 IIT</t>
        </is>
      </c>
      <c r="D11" s="44" t="inlineStr">
        <is>
          <t>头颈鳞癌（HNSCC）</t>
        </is>
      </c>
      <c r="E11" s="11" t="inlineStr">
        <is>
          <t>可切除局部晚期 新辅助</t>
        </is>
      </c>
      <c r="F11" s="13" t="inlineStr">
        <is>
          <t>依沃西 20mg/kg + 白蛋白紫杉醇 + 顺铂 ×3 → 手术</t>
        </is>
      </c>
      <c r="G11" s="13" t="inlineStr">
        <is>
          <t>IIT（NCT06537011，n=36，单中心）</t>
        </is>
      </c>
      <c r="H11" s="33" t="inlineStr">
        <is>
          <t>II</t>
        </is>
      </c>
      <c r="I11" s="13" t="inlineStr">
        <is>
          <t>ORR 100%（CR 50%、PR 50%，n=34）；pCR 50%（15/30），原发灶 pCR 70%、淋巴结 64.3%；R0 100%，保喉/保咽 100%。喉部原发 pCR 仅 12.5%；CPS&gt;30 者 pCR 100%</t>
        </is>
      </c>
      <c r="J11" s="15" t="inlineStr">
        <is>
          <t>pembrolizumab 新辅助 2 周期 → 手术 → 辅助 pembrolizumab+放疗±顺铂 → 单药</t>
        </is>
      </c>
      <c r="K11" s="15" t="inlineStr">
        <is>
          <t>KEYNOTE-689（NCT03765918，n=714）</t>
        </is>
      </c>
      <c r="L11" s="34" t="inlineStr">
        <is>
          <t>III</t>
        </is>
      </c>
      <c r="M11" s="15" t="inlineStr">
        <is>
          <t>CPS≥1：36 个月 EFS 58.2% vs 44.9%，HR 0.70，p=0.00140 ✅；CPS≥10 HR 0.66；全体 HR 0.73。2025/6 获批（HNSCC 六年来首个新批准）</t>
        </is>
      </c>
      <c r="N11" s="17" t="inlineStr">
        <is>
          <t>K药 已成功；AK112 期别与样本均不足</t>
        </is>
      </c>
      <c r="O11" s="11" t="inlineStr">
        <is>
          <t>36 例单中心、主要终点含 2 年 EFS 未成熟。喉部原发 pCR 仅 12.5% 是明显短板。不构成对 K药 的挑战</t>
        </is>
      </c>
    </row>
    <row r="12">
      <c r="A12" s="43" t="n">
        <v>11</v>
      </c>
      <c r="B12" s="19" t="inlineStr">
        <is>
          <t>第三类·K药同适应症也成功</t>
        </is>
      </c>
      <c r="C12" s="11" t="inlineStr">
        <is>
          <t>K药 已 III 期成功，同期别 ORR 差距有限</t>
        </is>
      </c>
      <c r="D12" s="44" t="inlineStr">
        <is>
          <t>胃 / 胃食管结合部腺癌</t>
        </is>
      </c>
      <c r="E12" s="11" t="inlineStr">
        <is>
          <t>一线晚期，联合化疗</t>
        </is>
      </c>
      <c r="F12" s="13" t="inlineStr">
        <is>
          <t>卡度尼利(AK104) + 依沃西 + SOX/XELOX</t>
        </is>
      </c>
      <c r="G12" s="13" t="inlineStr">
        <is>
          <t>IIT（NCT06196697，n=54）</t>
        </is>
      </c>
      <c r="H12" s="33" t="inlineStr">
        <is>
          <t>II</t>
        </is>
      </c>
      <c r="I12" s="13" t="inlineStr">
        <is>
          <t>ORR 71.7%，DCR 95.7%，mPFS 8.4 m（6.0–13.1），OS 未成熟。肝转移 ORR 81.8%/mPFS 10.7 m；腹膜转移 ORR 72.2%/mPFS 6.4 m。55.6% 为 CPS&lt;5。G3–4 TRAE 18.5%</t>
        </is>
      </c>
      <c r="J12" s="15" t="inlineStr">
        <is>
          <t>pembrolizumab + 化疗</t>
        </is>
      </c>
      <c r="K12" s="15" t="inlineStr">
        <is>
          <t>KEYNOTE-859（III，n=1579）；KEYNOTE-059 队列 2（II，一线+化疗，n=25）</t>
        </is>
      </c>
      <c r="L12" s="34" t="inlineStr">
        <is>
          <t>III / II</t>
        </is>
      </c>
      <c r="M12" s="15" t="inlineStr">
        <is>
          <t>KEYNOTE-859：全体 OS HR 0.78，CPS≥10 HR 0.65 ✅ 获批；KEYNOTE-811（HER2+）ORR 74% vs 52%、PFS HR 0.72 ✅ 获批。同期别 KEYNOTE-059 队列 2 一线+化疗 ORR 约 60%</t>
        </is>
      </c>
      <c r="N12" s="17" t="inlineStr">
        <is>
          <t>K药 已成功；同期别 71.7% vs 60% 差距有限</t>
        </is>
      </c>
      <c r="O12" s="11" t="inlineStr">
        <is>
          <t>AK112 需要叠加第二个抗体（AK104）才达到该 ORR，是三药生物制剂+化疗的四药方案，毒性与成本口径完全不同。且 AK112 无胃癌 III 期，方案不可直接归给依沃西单药贡献</t>
        </is>
      </c>
    </row>
    <row r="13">
      <c r="A13" s="43" t="n">
        <v>12</v>
      </c>
      <c r="B13" s="36" t="inlineStr">
        <is>
          <t>第四类·无法配对</t>
        </is>
      </c>
      <c r="C13" s="11" t="inlineStr">
        <is>
          <t>K药 机制上不适用，不应计入战绩对比</t>
        </is>
      </c>
      <c r="D13" s="44" t="inlineStr">
        <is>
          <t>NSCLC</t>
        </is>
      </c>
      <c r="E13" s="11" t="inlineStr">
        <is>
          <t>PD-(L)1 抑制剂经治 / IO 耐药后 晚期</t>
        </is>
      </c>
      <c r="F13" s="13" t="inlineStr">
        <is>
          <t>依沃西 + 含铂化疗；依沃西 20mg/kg + 多西他赛 75mg/m²</t>
        </is>
      </c>
      <c r="G13" s="13" t="inlineStr">
        <is>
          <t>AK112-201 队列 3 与多西他赛队列（NCT04736823，各 n=20）</t>
        </is>
      </c>
      <c r="H13" s="33" t="inlineStr">
        <is>
          <t>II</t>
        </is>
      </c>
      <c r="I13" s="13" t="inlineStr">
        <is>
          <t>+含铂化疗：ORR 40%，mPFS 7.1 m，mOS 15.6 m，mDOR 12.4 m；+多西他赛：mPFS 10.3 m（8.1–11.7）。III 期 AK112-305 / HARMONi-8A（n=536，vs 安慰剂+多西他赛）进行中</t>
        </is>
      </c>
      <c r="J13" s="15" t="inlineStr">
        <is>
          <t>—</t>
        </is>
      </c>
      <c r="K13" s="15" t="inlineStr">
        <is>
          <t>无对等注册试验</t>
        </is>
      </c>
      <c r="L13" s="34" t="inlineStr">
        <is>
          <t>—</t>
        </is>
      </c>
      <c r="M13" s="15" t="inlineStr">
        <is>
          <t>K药 在 IO 耐药后无任何成功注册路径，且 K药 本身就是耐药的来源。retreatment 数据仅零星小样本，无有意义信号</t>
        </is>
      </c>
      <c r="N13" s="17" t="inlineStr">
        <is>
          <t>属于「K药 机制上不适用」，非「K药 失败」</t>
        </is>
      </c>
      <c r="O13" s="11" t="inlineStr">
        <is>
          <t>这条不能算 AK112 战胜 K药。它是 PD-1/VEGF 双抗相对单靶点 PD-1 的机制性新场景。样本仅 20 例/队列，HARMONi-8A 尚无随机读出</t>
        </is>
      </c>
    </row>
    <row r="14">
      <c r="A14" s="43" t="n">
        <v>13</v>
      </c>
      <c r="B14" s="36" t="inlineStr">
        <is>
          <t>第四类·无法配对</t>
        </is>
      </c>
      <c r="C14" s="11" t="inlineStr">
        <is>
          <t>K药 明确失败，但 AK112 数据未公开，无法比较</t>
        </is>
      </c>
      <c r="D14" s="44" t="inlineStr">
        <is>
          <t>胰腺癌（PDAC）</t>
        </is>
      </c>
      <c r="E14" s="11" t="inlineStr">
        <is>
          <t>一线转移性</t>
        </is>
      </c>
      <c r="F14" s="13" t="inlineStr">
        <is>
          <t>依沃西 + 卡度尼利 + 吉西他滨/白蛋白紫杉醇；III 期为 ± AK117</t>
        </is>
      </c>
      <c r="G14" s="13" t="inlineStr">
        <is>
          <t>AK112-210（NCT06646055，n=110）→ AK112-310 / HARMONi-GI2（NCT06952999，n=999）</t>
        </is>
      </c>
      <c r="H14" s="33" t="inlineStr">
        <is>
          <t>Ib/II → III</t>
        </is>
      </c>
      <c r="I14" s="13" t="inlineStr">
        <is>
          <t>II 期疗效数据至今未公开。可参照同公司 AK104+AG 的 COMPASSION-26（n=59）：ORR 33.9%、DCR 96.4%、mPFS 8.5 m、mOS 13.8 m</t>
        </is>
      </c>
      <c r="J14" s="15" t="inlineStr">
        <is>
          <t>pembrolizumab 单药</t>
        </is>
      </c>
      <c r="K14" s="15" t="inlineStr">
        <is>
          <t>KEYNOTE-028 胰腺队列（n=22）</t>
        </is>
      </c>
      <c r="L14" s="34" t="inlineStr">
        <is>
          <t>Ib</t>
        </is>
      </c>
      <c r="M14" s="15" t="inlineStr">
        <is>
          <t>ORR 0%（0/22，95%CI 0–14.2%），mPFS 1.7 m —— K药 全项目最差队列 ❌，从未开展三期</t>
        </is>
      </c>
      <c r="N14" s="17" t="inlineStr">
        <is>
          <t>K药 完败，但 AK112 无公开数据，不可推断</t>
        </is>
      </c>
      <c r="O14" s="11" t="inlineStr">
        <is>
          <t>已启动 999 例 III 期只是开发决策，不是数据。在未公开 II 期数据前，任何「AK112 攻克胰腺癌」的推断都不成立</t>
        </is>
      </c>
    </row>
    <row r="15">
      <c r="A15" s="43" t="n">
        <v>14</v>
      </c>
      <c r="B15" s="36" t="inlineStr">
        <is>
          <t>第四类·无法配对</t>
        </is>
      </c>
      <c r="C15" s="11" t="inlineStr">
        <is>
          <t>期别相差三级，且 AK112 自己也未验证</t>
        </is>
      </c>
      <c r="D15" s="44" t="inlineStr">
        <is>
          <t>小细胞肺癌（SCLC）</t>
        </is>
      </c>
      <c r="E15" s="11" t="inlineStr">
        <is>
          <t>一线广泛期（ES-SCLC），联合依托泊苷+铂</t>
        </is>
      </c>
      <c r="F15" s="13" t="inlineStr">
        <is>
          <t>依沃西 + 依托泊苷 + 卡铂</t>
        </is>
      </c>
      <c r="G15" s="13" t="inlineStr">
        <is>
          <t>AK112-103（NCT05116007，n=32–35）</t>
        </is>
      </c>
      <c r="H15" s="33" t="inlineStr">
        <is>
          <t>Ib</t>
        </is>
      </c>
      <c r="I15" s="13" t="inlineStr">
        <is>
          <t>ORR 87.5%，DCR 96.9%，mPFS 6.9 m，6 个月 PFS 率 52.1%；OS 未成熟（中位随访 7.2 m）</t>
        </is>
      </c>
      <c r="J15" s="15" t="inlineStr">
        <is>
          <t>pembrolizumab + 依托泊苷 + 铂</t>
        </is>
      </c>
      <c r="K15" s="15" t="inlineStr">
        <is>
          <t>KEYNOTE-604（n=453）</t>
        </is>
      </c>
      <c r="L15" s="34" t="inlineStr">
        <is>
          <t>III</t>
        </is>
      </c>
      <c r="M15" s="15" t="inlineStr">
        <is>
          <t>PFS 达标；OS 10.8 vs 9.7 m，HR 0.80，p=0.0164，未过界值 0.0128 ❌。SCLC 三线单药加速批准于 2021 年撤回</t>
        </is>
      </c>
      <c r="N15" s="17" t="inlineStr">
        <is>
          <t>K药 III 期 OS 失败；AK112 仅 Ib 期，尚未验证</t>
        </is>
      </c>
      <c r="O15" s="11" t="inlineStr">
        <is>
          <t>ORR 87.5% 极高但 mPFS 仅 6.9 m，PFS 增量有限（PD-L1+化疗历史约 5.1–5.8 m）。AK112 至今未做 1L ES-SCLC III 期，2025/10 才开随机 II 期；III 期只放在 LS-SCLC 巩固（AK112-311）</t>
        </is>
      </c>
    </row>
    <row r="16">
      <c r="A16" s="43" t="n">
        <v>15</v>
      </c>
      <c r="B16" s="36" t="inlineStr">
        <is>
          <t>第四类·无法配对</t>
        </is>
      </c>
      <c r="C16" s="11" t="inlineStr">
        <is>
          <t>方案不对等（联合 vs 单药），且 K药 最终在 III 期成功</t>
        </is>
      </c>
      <c r="D16" s="44" t="inlineStr">
        <is>
          <t>胆道癌（BTC）</t>
        </is>
      </c>
      <c r="E16" s="11" t="inlineStr">
        <is>
          <t>一线晚期（II 期层面）</t>
        </is>
      </c>
      <c r="F16" s="13" t="inlineStr">
        <is>
          <t>依沃西 + 吉西他滨 + 顺铂</t>
        </is>
      </c>
      <c r="G16" s="13" t="inlineStr">
        <is>
          <t>多中心开放 II 期（J Hepatol 2026，n≈22）</t>
        </is>
      </c>
      <c r="H16" s="33" t="inlineStr">
        <is>
          <t>II</t>
        </is>
      </c>
      <c r="I16" s="13" t="inlineStr">
        <is>
          <t>mOS 16.8 m（历史对照：TOPAZ-1 中 durvalumab+化疗 12.9 m、化疗 11.3 m）</t>
        </is>
      </c>
      <c r="J16" s="15" t="inlineStr">
        <is>
          <t>pembrolizumab 单药</t>
        </is>
      </c>
      <c r="K16" s="15" t="inlineStr">
        <is>
          <t>KEYNOTE-158 胆道队列（n=104）；KEYNOTE-028（n=23）</t>
        </is>
      </c>
      <c r="L16" s="34" t="inlineStr">
        <is>
          <t>II / Ib</t>
        </is>
      </c>
      <c r="M16" s="15" t="inlineStr">
        <is>
          <t>KEYNOTE-158 ORR 5.8%，mPFS 2.0 m，mOS 7.4 m；KEYNOTE-028 ORR 13.0%。单药未获批</t>
        </is>
      </c>
      <c r="N16" s="17" t="inlineStr">
        <is>
          <t>单药 vs 联合化疗，口径不成立</t>
        </is>
      </c>
      <c r="O16" s="11" t="inlineStr">
        <is>
          <t>K药 在该瘤种最终以 KEYNOTE-966（III，+吉西他滨/顺铂）成功获批，因此「K药 在胆道癌没成功」不成立。两者的 II 期数据不可比</t>
        </is>
      </c>
    </row>
  </sheetData>
  <autoFilter ref="A1:O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20" customWidth="1" min="4" max="4"/>
    <col width="30" customWidth="1" min="5" max="5"/>
    <col width="30" customWidth="1" min="6" max="6"/>
    <col width="30" customWidth="1" min="7" max="7"/>
    <col width="8" customWidth="1" min="8" max="8"/>
    <col width="60" customWidth="1" min="9" max="9"/>
    <col width="28" customWidth="1" min="10" max="10"/>
    <col width="30" customWidth="1" min="11" max="11"/>
    <col width="8" customWidth="1" min="12" max="12"/>
    <col width="60" customWidth="1" min="13" max="13"/>
    <col width="30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43" t="n">
        <v>1</v>
      </c>
      <c r="B2" s="10" t="inlineStr">
        <is>
          <t>第一类·完全对等</t>
        </is>
      </c>
      <c r="C2" s="11" t="inlineStr">
        <is>
          <t>★★★★★ 瘤种/线数/期别/联合方案/对照设计 全部对等</t>
        </is>
      </c>
      <c r="D2" s="44" t="inlineStr">
        <is>
          <t>NSCLC（非鳞，EGFR 突变）</t>
        </is>
      </c>
      <c r="E2" s="11" t="inlineStr">
        <is>
          <t>EGFR-TKI 进展后 二线，联合培美曲塞+铂</t>
        </is>
      </c>
      <c r="F2" s="13" t="inlineStr">
        <is>
          <t>依沃西 20mg/kg + 培美曲塞 + 卡铂</t>
        </is>
      </c>
      <c r="G2" s="13" t="inlineStr">
        <is>
          <t>HARMONi-A / AK112-301（NCT05184712，n=322，中国）</t>
        </is>
      </c>
      <c r="H2" s="33" t="inlineStr">
        <is>
          <t>III</t>
        </is>
      </c>
      <c r="I2" s="13" t="inlineStr">
        <is>
          <t>PFS 7.06 vs 4.80 m，HR 0.46（0.34–0.62），p&lt;0.0001 ✅；ORR 50.6% vs 35.4%；最终 OS 16.8 vs 14.1 m，HR 0.74（0.58–0.95），p=0.019 ✅；30 个月生存率 29.1% vs 18.4%</t>
        </is>
      </c>
      <c r="J2" s="15" t="inlineStr">
        <is>
          <t>pembrolizumab 200mg + 培美曲塞 + 卡铂/顺铂</t>
        </is>
      </c>
      <c r="K2" s="15" t="inlineStr">
        <is>
          <t>KEYNOTE-789（NCT03515837，n=492，全球）</t>
        </is>
      </c>
      <c r="L2" s="34" t="inlineStr">
        <is>
          <t>III</t>
        </is>
      </c>
      <c r="M2" s="15" t="inlineStr">
        <is>
          <t>PFS 5.6 vs 5.5 m，HR 0.80（0.65–0.97），p=0.0122，未过界值 0.0117 ❌；OS 15.9 vs 14.7 m，HR 0.84（0.69–1.02），p=0.0362，未过界值 0.0118 ❌；ORR 29.0% vs 27.1%（几乎无差）</t>
        </is>
      </c>
      <c r="N2" s="17" t="inlineStr">
        <is>
          <t>AK112 双终点达标 / K药 双终点全失</t>
        </is>
      </c>
      <c r="O2" s="11" t="inlineStr">
        <is>
          <t>本表唯一站得住的硬结论。效应量差距是实的（PFS HR 0.46 vs 0.80），非踩线之差。注意 AK112 的 G≥3 TEAE 67.1% vs 54.7%，毒性同步上升</t>
        </is>
      </c>
    </row>
    <row r="3">
      <c r="A3" s="43" t="n">
        <v>2</v>
      </c>
      <c r="B3" s="10" t="inlineStr">
        <is>
          <t>第一类·完全对等</t>
        </is>
      </c>
      <c r="C3" s="11" t="inlineStr">
        <is>
          <t>★★★★☆ 同上，但仅 PFS 达标（全球人群）</t>
        </is>
      </c>
      <c r="D3" s="44" t="inlineStr">
        <is>
          <t>NSCLC（非鳞，EGFR 突变）</t>
        </is>
      </c>
      <c r="E3" s="11" t="inlineStr">
        <is>
          <t>EGFR-TKI 进展后 二线，联合培美曲塞+铂（全球多中心）</t>
        </is>
      </c>
      <c r="F3" s="13" t="inlineStr">
        <is>
          <t>依沃西 20mg/kg + 培美曲塞 + 卡铂</t>
        </is>
      </c>
      <c r="G3" s="13" t="inlineStr">
        <is>
          <t>HARMONi（NCT06395065，n=345 主分析 / 438 长期）</t>
        </is>
      </c>
      <c r="H3" s="33" t="inlineStr">
        <is>
          <t>III</t>
        </is>
      </c>
      <c r="I3" s="13" t="inlineStr">
        <is>
          <t>PFS 6.8 vs 4.4 m，HR 0.52（0.41–0.66），p&lt;0.0001 ✅；研究者评估 HR 0.58；LTF 分析 HR 0.57。但 OS 主终点未达（HR 0.79，p=0.057）❌</t>
        </is>
      </c>
      <c r="J3" s="15" t="inlineStr">
        <is>
          <t>同上</t>
        </is>
      </c>
      <c r="K3" s="15" t="inlineStr">
        <is>
          <t>KEYNOTE-789</t>
        </is>
      </c>
      <c r="L3" s="34" t="inlineStr">
        <is>
          <t>III</t>
        </is>
      </c>
      <c r="M3" s="15" t="inlineStr">
        <is>
          <t>PFS HR 0.80，p=0.0122 未达 ❌</t>
        </is>
      </c>
      <c r="N3" s="17" t="inlineStr">
        <is>
          <t>PFS 层面 AK112 胜 / K药 败；OS 层面双方均失败</t>
        </is>
      </c>
      <c r="O3" s="11" t="inlineStr">
        <is>
          <t>必须同时说清：AK112 在全球人群的 OS 也失败了（HR 0.79→0.78，nominal p=0.0332 但 α 已用尽）。所以 AK112 在该适应症的胜出 = 中国人群 OS + 全球人群 PFS，不是全球 OS。PDUFA 2026/11/14 存在延期风险</t>
        </is>
      </c>
    </row>
  </sheetData>
  <autoFilter ref="A1:O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20" customWidth="1" min="4" max="4"/>
    <col width="30" customWidth="1" min="5" max="5"/>
    <col width="30" customWidth="1" min="6" max="6"/>
    <col width="30" customWidth="1" min="7" max="7"/>
    <col width="8" customWidth="1" min="8" max="8"/>
    <col width="60" customWidth="1" min="9" max="9"/>
    <col width="28" customWidth="1" min="10" max="10"/>
    <col width="30" customWidth="1" min="11" max="11"/>
    <col width="8" customWidth="1" min="12" max="12"/>
    <col width="60" customWidth="1" min="13" max="13"/>
    <col width="30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43" t="n">
        <v>1</v>
      </c>
      <c r="B2" s="35" t="inlineStr">
        <is>
          <t>第二类·同期别但口径有差异</t>
        </is>
      </c>
      <c r="C2" s="11" t="inlineStr">
        <is>
          <t>★★★☆☆ 同瘤种/同线数/同期别/同类方案，但样本小、差距不显著</t>
        </is>
      </c>
      <c r="D2" s="44" t="inlineStr">
        <is>
          <t>结直肠癌（MSS/pMMR）</t>
        </is>
      </c>
      <c r="E2" s="11" t="inlineStr">
        <is>
          <t>一线转移性，联合奥沙利铂类化疗</t>
        </is>
      </c>
      <c r="F2" s="13" t="inlineStr">
        <is>
          <t>依沃西 10 或 20mg/kg + mFOLFOX6（全球队列）；依沃西 + FOLFOXIRI（中国部分）</t>
        </is>
      </c>
      <c r="G2" s="13" t="inlineStr">
        <is>
          <t>AK112-206（NCT05382442），全球 n=48 / 中国 n=22</t>
        </is>
      </c>
      <c r="H2" s="33" t="inlineStr">
        <is>
          <t>II</t>
        </is>
      </c>
      <c r="I2" s="13" t="inlineStr">
        <is>
          <t>全球队列（+mFOLFOX6）ORR 70.8%，DCR 100%，9 个月 PFS 率 76.1%（20mg/kg）；中国部分（+FOLFOXIRI）ORR 81.8%，DCR 100%，mPFS 未达。已启动 III 期 AK112-312 / HARMONi-GI3（n=600，vs 贝伐+FOLFOX）</t>
        </is>
      </c>
      <c r="J2" s="15" t="inlineStr">
        <is>
          <t>pembrolizumab 200mg + mFOLFOX7</t>
        </is>
      </c>
      <c r="K2" s="15" t="inlineStr">
        <is>
          <t>KEYNOTE-651 队列 B（NCT03374254，n=31）</t>
        </is>
      </c>
      <c r="L2" s="34" t="inlineStr">
        <is>
          <t>Ib</t>
        </is>
      </c>
      <c r="M2" s="15" t="inlineStr">
        <is>
          <t>ORR 61%（19/31；KRAS WT 10/14=71%，KRAS mut 9/17=53%）。官方与文献判定：与化疗（±贝伐/西妥昔）历史预期相当，未显示优势 → 停在 Ib 期，未推进 III 期</t>
        </is>
      </c>
      <c r="N2" s="17" t="inlineStr">
        <is>
          <t>AK112 推进 III 期 / K药 判无优势后放弃</t>
        </is>
      </c>
      <c r="O2" s="11" t="inlineStr">
        <is>
          <t>【重要修正】70.8% vs 61%，n 分别 48 与 31，统计上无法区分。真正差异在开发决策而非数据。同类随机试验 CheckMate 9X8（nivo+化疗）已在 MSS CRC 失败，HARMONi-GI3 面对的是此前 0/N 的赛道。AK112 用的 FOLFOXIRI 三药本身 ORR 即约 60–65%，81.8% 的增量更小</t>
        </is>
      </c>
    </row>
    <row r="3">
      <c r="A3" s="43" t="n">
        <v>2</v>
      </c>
      <c r="B3" s="35" t="inlineStr">
        <is>
          <t>第二类·同期别但口径有差异</t>
        </is>
      </c>
      <c r="C3" s="11" t="inlineStr">
        <is>
          <t>★★★☆☆ 同瘤种/同线数/同期别，但方案不对等（联合 vs 单药）</t>
        </is>
      </c>
      <c r="D3" s="44" t="inlineStr">
        <is>
          <t>三阴性乳腺癌（TNBC）</t>
        </is>
      </c>
      <c r="E3" s="11" t="inlineStr">
        <is>
          <t>一线局晚不可切/转移性，尤其 PD-L1 CPS&lt;10 人群</t>
        </is>
      </c>
      <c r="F3" s="13" t="inlineStr">
        <is>
          <t>依沃西 + 紫杉醇或白蛋白紫杉醇</t>
        </is>
      </c>
      <c r="G3" s="13" t="inlineStr">
        <is>
          <t>AK117-203 依沃西队列（NCT05227664，n=36）</t>
        </is>
      </c>
      <c r="H3" s="33" t="inlineStr">
        <is>
          <t>II</t>
        </is>
      </c>
      <c r="I3" s="13" t="inlineStr">
        <is>
          <t>ORR 80.0%，DCR 100%，mDOR 12.2 m，mPFS 15.2 m，12 个月 PFS 率 56.3%。CPS≥10：ORR 83.3%、mPFS 15.9 m；CPS&lt;10：ORR 79.3%、mPFS 13.0 m（该队列 83.3% 为 CPS&lt;10）。已获 CDE 突破性疗法认定；III 期 HARMONi-BC1（n=416）进行中</t>
        </is>
      </c>
      <c r="J3" s="15" t="inlineStr">
        <is>
          <t>pembrolizumab 单药（同期别仅有单药数据）</t>
        </is>
      </c>
      <c r="K3" s="15" t="inlineStr">
        <is>
          <t>KEYNOTE-086 队列 B（一线 PD-L1+，n=84）/ 队列 A（二线+，n=170）</t>
        </is>
      </c>
      <c r="L3" s="34" t="inlineStr">
        <is>
          <t>II</t>
        </is>
      </c>
      <c r="M3" s="15" t="inlineStr">
        <is>
          <t>队列 B（一线 PD-L1+ 单药）ORR 21.4%（13.9–31.4）；队列 A（二线+ 单药）ORR 5.3%，mPFS 2.0 m，DCR 仅 7.6%。III 期层面：KEYNOTE-355 仅 CPS≥10 达标（OS HR 0.73），CPS≥1 与 ITT 未达显著；KEYNOTE-119（全人群 2/3L）OS 失败 ❌</t>
        </is>
      </c>
      <c r="N3" s="17" t="inlineStr">
        <is>
          <t>CPS&lt;10 人群：K药 III 期明确无获益 / AK112 II 期强信号</t>
        </is>
      </c>
      <c r="O3" s="11" t="inlineStr">
        <is>
          <t>口径缺陷：AK112 为「+化疗」，K药 同期别仅有「单药」数据，ORR 不可直接比（K药「+化疗」直接跳到 III 期 KEYNOTE-355）。但「CPS&lt;10 / PD-L1 低表达 TNBC 是 K药 在 III 期确证失败的人群」这一点是实的，也正是 HARMONi-BC1 要验证的核心</t>
        </is>
      </c>
    </row>
    <row r="4">
      <c r="A4" s="43" t="n">
        <v>3</v>
      </c>
      <c r="B4" s="35" t="inlineStr">
        <is>
          <t>第二类·同期别但口径有差异</t>
        </is>
      </c>
      <c r="C4" s="11" t="inlineStr">
        <is>
          <t>★★☆☆☆ 同瘤种/同线数/同方案（单药），但样本量差 20 倍</t>
        </is>
      </c>
      <c r="D4" s="44" t="inlineStr">
        <is>
          <t>卵巢癌 / 输卵管 / 原发腹膜癌</t>
        </is>
      </c>
      <c r="E4" s="11" t="inlineStr">
        <is>
          <t>铂耐药复发，单药</t>
        </is>
      </c>
      <c r="F4" s="13" t="inlineStr">
        <is>
          <t>依沃西 10 或 20mg/kg Q2W 单药</t>
        </is>
      </c>
      <c r="G4" s="13" t="inlineStr">
        <is>
          <t>AK112-101（NCT04047290）Ia 扩展，n=19</t>
        </is>
      </c>
      <c r="H4" s="33" t="inlineStr">
        <is>
          <t>Ia</t>
        </is>
      </c>
      <c r="I4" s="13" t="inlineStr">
        <is>
          <t>ORR 26.3%（5/19，均 PR）；20mg/kg 30.0% vs 10mg/kg 14.3%；9 例 PFS&gt;6 m；4 例既往用过贝伐者 SD&gt;12 m。68.4% 为 ≥3 线经治</t>
        </is>
      </c>
      <c r="J4" s="15" t="inlineStr">
        <is>
          <t>pembrolizumab 200mg 单药</t>
        </is>
      </c>
      <c r="K4" s="15" t="inlineStr">
        <is>
          <t>KEYNOTE-100（n=376）；KEYNOTE-028 卵巢队列（n=26）</t>
        </is>
      </c>
      <c r="L4" s="34" t="inlineStr">
        <is>
          <t>II / Ib</t>
        </is>
      </c>
      <c r="M4" s="15" t="inlineStr">
        <is>
          <t>KEYNOTE-100（II 期，n=376）ORR 8.0%，DCR 37.2%，mPFS 2.1 m；KEYNOTE-028（Ib）ORR 约 11.5%。均未获批，方向放弃 ❌</t>
        </is>
      </c>
      <c r="N4" s="17" t="inlineStr">
        <is>
          <t>数字上 AK112 更高，但两家最终都放弃</t>
        </is>
      </c>
      <c r="O4" s="11" t="inlineStr">
        <is>
          <t>【最弱的一条】n=19 vs n=376，可信度悬殊 20 倍。且 AK112 自己也未推进注册路径：AK112-203（妇科单药 n=53）数据至今不公开、AK112-204（+PARP）因入组率过低 TERMINATED。正确结论是「两家都没走通」，不是「AK112 赢了」</t>
        </is>
      </c>
    </row>
  </sheetData>
  <autoFilter ref="A1:O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20" customWidth="1" min="4" max="4"/>
    <col width="30" customWidth="1" min="5" max="5"/>
    <col width="30" customWidth="1" min="6" max="6"/>
    <col width="30" customWidth="1" min="7" max="7"/>
    <col width="8" customWidth="1" min="8" max="8"/>
    <col width="60" customWidth="1" min="9" max="9"/>
    <col width="28" customWidth="1" min="10" max="10"/>
    <col width="30" customWidth="1" min="11" max="11"/>
    <col width="8" customWidth="1" min="12" max="12"/>
    <col width="60" customWidth="1" min="13" max="13"/>
    <col width="30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43" t="n">
        <v>1</v>
      </c>
      <c r="B2" s="19" t="inlineStr">
        <is>
          <t>第三类·K药同适应症也成功</t>
        </is>
      </c>
      <c r="C2" s="11" t="inlineStr">
        <is>
          <t>不符合筛选条件，但价值最高：K药 被头对头击败</t>
        </is>
      </c>
      <c r="D2" s="44" t="inlineStr">
        <is>
          <t>NSCLC</t>
        </is>
      </c>
      <c r="E2" s="11" t="inlineStr">
        <is>
          <t>一线 PD-L1 阳性（TPS≥1%）局晚/转移性，单药</t>
        </is>
      </c>
      <c r="F2" s="13" t="inlineStr">
        <is>
          <t>依沃西 20mg/kg 单药</t>
        </is>
      </c>
      <c r="G2" s="13" t="inlineStr">
        <is>
          <t>HARMONi-2 / AK112-303（NCT05499390，n=398）</t>
        </is>
      </c>
      <c r="H2" s="33" t="inlineStr">
        <is>
          <t>III</t>
        </is>
      </c>
      <c r="I2" s="13" t="inlineStr">
        <is>
          <t>PFS 11.14 vs 5.82 m，HR 0.51（0.38–0.69），p&lt;0.0001 ✅。亚组：鳞 0.50 / 非鳞 0.55；TPS 1–49% 0.54 / TPS≥50% 0.48；肝转 0.47；脑转 0.55。2026/9/2 宣布 OS 期中分析达统计学显著（HR 与中位数未披露）</t>
        </is>
      </c>
      <c r="J2" s="15" t="inlineStr">
        <is>
          <t>pembrolizumab 200mg Q3W 单药（作为本试验对照组）</t>
        </is>
      </c>
      <c r="K2" s="15" t="inlineStr">
        <is>
          <t>KEYNOTE-024（TPS≥50%）/ KEYNOTE-042（TPS≥1%）</t>
        </is>
      </c>
      <c r="L2" s="34" t="inlineStr">
        <is>
          <t>III</t>
        </is>
      </c>
      <c r="M2" s="15" t="inlineStr">
        <is>
          <t>KEYNOTE-024：OS 26.3 vs 13.4 m，HR 0.62，5 年 OS 31.9% vs 16.3% ✅ 获批；KEYNOTE-042：TPS≥1% OS HR 0.81 ✅ 获批。K药 在该适应症是成功的，但在 HARMONi-2 中作为活性对照被击败</t>
        </is>
      </c>
      <c r="N2" s="17" t="inlineStr">
        <is>
          <t>K药 成功获批，但被 AK112 头对头优效</t>
        </is>
      </c>
      <c r="O2" s="11" t="inlineStr">
        <is>
          <t>性质比「K药失败」更强：全球首个单药头对头优效 K药 的随机双盲 III 期。风险点：2025/4 曾披露 39% 成熟度 OS HR 0.777（当时 α 仅 0.0001 未达显著）引发股价大跌；OS 具体 HR 至今未披露；全为中国人群</t>
        </is>
      </c>
    </row>
    <row r="3">
      <c r="A3" s="43" t="n">
        <v>2</v>
      </c>
      <c r="B3" s="19" t="inlineStr">
        <is>
          <t>第三类·K药同适应症也成功</t>
        </is>
      </c>
      <c r="C3" s="11" t="inlineStr">
        <is>
          <t>两者均成功，未头对头</t>
        </is>
      </c>
      <c r="D3" s="44" t="inlineStr">
        <is>
          <t>NSCLC（鳞）</t>
        </is>
      </c>
      <c r="E3" s="11" t="inlineStr">
        <is>
          <t>一线晚期，联合含铂化疗</t>
        </is>
      </c>
      <c r="F3" s="13" t="inlineStr">
        <is>
          <t>依沃西 20mg/kg + 紫杉醇 175 + 卡铂 AUC5 ×4 后维持</t>
        </is>
      </c>
      <c r="G3" s="13" t="inlineStr">
        <is>
          <t>HARMONi-6 / AK112-306（NCT05840016，n=532）</t>
        </is>
      </c>
      <c r="H3" s="33" t="inlineStr">
        <is>
          <t>III</t>
        </is>
      </c>
      <c r="I3" s="13" t="inlineStr">
        <is>
          <t>PFS 11.1 vs 6.9 m，HR 0.60，p&lt;0.0001 ✅；OS 27.9 vs 23.7 m，HR 0.66（0.50–0.87），单侧 p=0.0017（界值 0.0049）✅。TPS&lt;1% OS HR 0.64；TPS≥1% 0.68。对照为替雷利珠单抗+同方案化疗</t>
        </is>
      </c>
      <c r="J3" s="15" t="inlineStr">
        <is>
          <t>pembrolizumab + 卡铂 + 紫杉醇/白蛋白紫杉醇</t>
        </is>
      </c>
      <c r="K3" s="15" t="inlineStr">
        <is>
          <t>KEYNOTE-407（n=559）</t>
        </is>
      </c>
      <c r="L3" s="34" t="inlineStr">
        <is>
          <t>III</t>
        </is>
      </c>
      <c r="M3" s="15" t="inlineStr">
        <is>
          <t>OS 17.1 vs 11.6 m，HR 0.64 ✅ 获批</t>
        </is>
      </c>
      <c r="N3" s="17" t="inlineStr">
        <is>
          <t>两者都成功；AK112 击败的是替雷利珠+化疗，非 K药</t>
        </is>
      </c>
      <c r="O3" s="11" t="inlineStr">
        <is>
          <t>AK112 的 OS HR 0.66（vs 替雷利珠+化疗）与 K药 的 0.64（vs 化疗）不可直接比——对照组不同。AK112 的价值在于「首个 OS 优效于 PD-1+化疗 的 III 期」。风险：PFS 优势由 2025/2 切点的 40% 降至 2025/9 切点的 28%；G≥3 出血 3% vs 1%</t>
        </is>
      </c>
    </row>
    <row r="4">
      <c r="A4" s="43" t="n">
        <v>3</v>
      </c>
      <c r="B4" s="19" t="inlineStr">
        <is>
          <t>第三类·K药同适应症也成功</t>
        </is>
      </c>
      <c r="C4" s="11" t="inlineStr">
        <is>
          <t>两者均成功，对照强度差一个量级</t>
        </is>
      </c>
      <c r="D4" s="44" t="inlineStr">
        <is>
          <t>胆道癌（BTC）</t>
        </is>
      </c>
      <c r="E4" s="11" t="inlineStr">
        <is>
          <t>一线不可切除局晚/转移性，联合吉西他滨+顺铂</t>
        </is>
      </c>
      <c r="F4" s="13" t="inlineStr">
        <is>
          <t>依沃西 + 吉西他滨 1000 + 顺铂 25（D1/D8 Q3W ×8）</t>
        </is>
      </c>
      <c r="G4" s="13" t="inlineStr">
        <is>
          <t>HARMONi-GI1 / AK112-309（NCT06591520，n=682）</t>
        </is>
      </c>
      <c r="H4" s="33" t="inlineStr">
        <is>
          <t>III</t>
        </is>
      </c>
      <c r="I4" s="13" t="inlineStr">
        <is>
          <t>2026/8/25 IDMC 期中分析：OS 主终点达统计学与临床意义显著 ✅，PFS 与 ORR 关键次要终点同时达标。HR、中位 OS、安全性均未披露。对照为度伐利尤单抗 1500mg + 同方案化疗（TOPAZ-1 方案）</t>
        </is>
      </c>
      <c r="J4" s="15" t="inlineStr">
        <is>
          <t>pembrolizumab + 吉西他滨 + 顺铂</t>
        </is>
      </c>
      <c r="K4" s="15" t="inlineStr">
        <is>
          <t>KEYNOTE-966（n=1069）</t>
        </is>
      </c>
      <c r="L4" s="34" t="inlineStr">
        <is>
          <t>III</t>
        </is>
      </c>
      <c r="M4" s="15" t="inlineStr">
        <is>
          <t>OS 12.7 vs 10.9 m，HR 0.83 ✅ 获批，但绝对获益不足 2 个月</t>
        </is>
      </c>
      <c r="N4" s="17" t="inlineStr">
        <is>
          <t>两者都成功；AK112 打的是活性药，K药 打的是安慰剂</t>
        </is>
      </c>
      <c r="O4" s="11" t="inlineStr">
        <is>
          <t>对照强度差异关键：AK112 头对头击败已上市 PD-L1（度伐利尤+化疗），K药 只是击败安慰剂+化疗且幅度很小。但 AK112 数据一个都没披露，目前只有公告，无法核验；也尚未获批该适应症</t>
        </is>
      </c>
    </row>
    <row r="5">
      <c r="A5" s="43" t="n">
        <v>4</v>
      </c>
      <c r="B5" s="19" t="inlineStr">
        <is>
          <t>第三类·K药同适应症也成功</t>
        </is>
      </c>
      <c r="C5" s="11" t="inlineStr">
        <is>
          <t>K药 已 III 期成功，AK112 仅 II 期单臂</t>
        </is>
      </c>
      <c r="D5" s="44" t="inlineStr">
        <is>
          <t>NSCLC</t>
        </is>
      </c>
      <c r="E5" s="11" t="inlineStr">
        <is>
          <t>可切除 II–IIIB(N2) 期 围手术期（新辅助+辅助）</t>
        </is>
      </c>
      <c r="F5" s="13" t="inlineStr">
        <is>
          <t>依沃西单药（20/30mg/kg）或 依沃西+化疗</t>
        </is>
      </c>
      <c r="G5" s="13" t="inlineStr">
        <is>
          <t>AK112-205（NCT05247684，n=60）</t>
        </is>
      </c>
      <c r="H5" s="33" t="inlineStr">
        <is>
          <t>II</t>
        </is>
      </c>
      <c r="I5" s="13" t="inlineStr">
        <is>
          <t>单药（n=20）pCR 30%、MPR 60%；+化疗（n=39→55）pCR 43.6%→52.7%、MPR 71.8%→72.7%；鳞癌 pCR 63.6%、MPR 84.1%。EFS 均未达成熟</t>
        </is>
      </c>
      <c r="J5" s="15" t="inlineStr">
        <is>
          <t>pembrolizumab + 铂类双药 新辅助 → 手术 → 辅助 pembrolizumab</t>
        </is>
      </c>
      <c r="K5" s="15" t="inlineStr">
        <is>
          <t>KEYNOTE-671（n=797）</t>
        </is>
      </c>
      <c r="L5" s="34" t="inlineStr">
        <is>
          <t>III</t>
        </is>
      </c>
      <c r="M5" s="15" t="inlineStr">
        <is>
          <t>pCR 18.1% vs 4.0%；EFS HR 0.58；OS HR 0.72 ✅ 获批</t>
        </is>
      </c>
      <c r="N5" s="17" t="inlineStr">
        <is>
          <t>K药 已成功；期别不对等（II 单臂 vs III 随机）</t>
        </is>
      </c>
      <c r="O5" s="11" t="inlineStr">
        <is>
          <t>pCR 43.6–52.7% vs 18.1% 的数字差距很大，但单臂 II 期与随机 III 期不可直接比（选择偏倚、样本量、pCR 判读标准均不同）。AK112 无围手术期 III 期，EFS/OS 完全未知，目前仅有 IIT</t>
        </is>
      </c>
    </row>
    <row r="6">
      <c r="A6" s="43" t="n">
        <v>5</v>
      </c>
      <c r="B6" s="19" t="inlineStr">
        <is>
          <t>第三类·K药同适应症也成功</t>
        </is>
      </c>
      <c r="C6" s="11" t="inlineStr">
        <is>
          <t>K药 已 III 期成功，AK112 仅单中心 IIT</t>
        </is>
      </c>
      <c r="D6" s="44" t="inlineStr">
        <is>
          <t>头颈鳞癌（HNSCC）</t>
        </is>
      </c>
      <c r="E6" s="11" t="inlineStr">
        <is>
          <t>可切除局部晚期 新辅助</t>
        </is>
      </c>
      <c r="F6" s="13" t="inlineStr">
        <is>
          <t>依沃西 20mg/kg + 白蛋白紫杉醇 + 顺铂 ×3 → 手术</t>
        </is>
      </c>
      <c r="G6" s="13" t="inlineStr">
        <is>
          <t>IIT（NCT06537011，n=36，单中心）</t>
        </is>
      </c>
      <c r="H6" s="33" t="inlineStr">
        <is>
          <t>II</t>
        </is>
      </c>
      <c r="I6" s="13" t="inlineStr">
        <is>
          <t>ORR 100%（CR 50%、PR 50%，n=34）；pCR 50%（15/30），原发灶 pCR 70%、淋巴结 64.3%；R0 100%，保喉/保咽 100%。喉部原发 pCR 仅 12.5%；CPS&gt;30 者 pCR 100%</t>
        </is>
      </c>
      <c r="J6" s="15" t="inlineStr">
        <is>
          <t>pembrolizumab 新辅助 2 周期 → 手术 → 辅助 pembrolizumab+放疗±顺铂 → 单药</t>
        </is>
      </c>
      <c r="K6" s="15" t="inlineStr">
        <is>
          <t>KEYNOTE-689（NCT03765918，n=714）</t>
        </is>
      </c>
      <c r="L6" s="34" t="inlineStr">
        <is>
          <t>III</t>
        </is>
      </c>
      <c r="M6" s="15" t="inlineStr">
        <is>
          <t>CPS≥1：36 个月 EFS 58.2% vs 44.9%，HR 0.70，p=0.00140 ✅；CPS≥10 HR 0.66；全体 HR 0.73。2025/6 获批（HNSCC 六年来首个新批准）</t>
        </is>
      </c>
      <c r="N6" s="17" t="inlineStr">
        <is>
          <t>K药 已成功；AK112 期别与样本均不足</t>
        </is>
      </c>
      <c r="O6" s="11" t="inlineStr">
        <is>
          <t>36 例单中心、主要终点含 2 年 EFS 未成熟。喉部原发 pCR 仅 12.5% 是明显短板。不构成对 K药 的挑战</t>
        </is>
      </c>
    </row>
    <row r="7">
      <c r="A7" s="43" t="n">
        <v>6</v>
      </c>
      <c r="B7" s="19" t="inlineStr">
        <is>
          <t>第三类·K药同适应症也成功</t>
        </is>
      </c>
      <c r="C7" s="11" t="inlineStr">
        <is>
          <t>K药 已 III 期成功，同期别 ORR 差距有限</t>
        </is>
      </c>
      <c r="D7" s="44" t="inlineStr">
        <is>
          <t>胃 / 胃食管结合部腺癌</t>
        </is>
      </c>
      <c r="E7" s="11" t="inlineStr">
        <is>
          <t>一线晚期，联合化疗</t>
        </is>
      </c>
      <c r="F7" s="13" t="inlineStr">
        <is>
          <t>卡度尼利(AK104) + 依沃西 + SOX/XELOX</t>
        </is>
      </c>
      <c r="G7" s="13" t="inlineStr">
        <is>
          <t>IIT（NCT06196697，n=54）</t>
        </is>
      </c>
      <c r="H7" s="33" t="inlineStr">
        <is>
          <t>II</t>
        </is>
      </c>
      <c r="I7" s="13" t="inlineStr">
        <is>
          <t>ORR 71.7%，DCR 95.7%，mPFS 8.4 m（6.0–13.1），OS 未成熟。肝转移 ORR 81.8%/mPFS 10.7 m；腹膜转移 ORR 72.2%/mPFS 6.4 m。55.6% 为 CPS&lt;5。G3–4 TRAE 18.5%</t>
        </is>
      </c>
      <c r="J7" s="15" t="inlineStr">
        <is>
          <t>pembrolizumab + 化疗</t>
        </is>
      </c>
      <c r="K7" s="15" t="inlineStr">
        <is>
          <t>KEYNOTE-859（III，n=1579）；KEYNOTE-059 队列 2（II，一线+化疗，n=25）</t>
        </is>
      </c>
      <c r="L7" s="34" t="inlineStr">
        <is>
          <t>III / II</t>
        </is>
      </c>
      <c r="M7" s="15" t="inlineStr">
        <is>
          <t>KEYNOTE-859：全体 OS HR 0.78，CPS≥10 HR 0.65 ✅ 获批；KEYNOTE-811（HER2+）ORR 74% vs 52%、PFS HR 0.72 ✅ 获批。同期别 KEYNOTE-059 队列 2 一线+化疗 ORR 约 60%</t>
        </is>
      </c>
      <c r="N7" s="17" t="inlineStr">
        <is>
          <t>K药 已成功；同期别 71.7% vs 60% 差距有限</t>
        </is>
      </c>
      <c r="O7" s="11" t="inlineStr">
        <is>
          <t>AK112 需要叠加第二个抗体（AK104）才达到该 ORR，是三药生物制剂+化疗的四药方案，毒性与成本口径完全不同。且 AK112 无胃癌 III 期，方案不可直接归给依沃西单药贡献</t>
        </is>
      </c>
    </row>
  </sheetData>
  <autoFilter ref="A1:O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20" customWidth="1" min="4" max="4"/>
    <col width="30" customWidth="1" min="5" max="5"/>
    <col width="30" customWidth="1" min="6" max="6"/>
    <col width="30" customWidth="1" min="7" max="7"/>
    <col width="8" customWidth="1" min="8" max="8"/>
    <col width="60" customWidth="1" min="9" max="9"/>
    <col width="28" customWidth="1" min="10" max="10"/>
    <col width="30" customWidth="1" min="11" max="11"/>
    <col width="8" customWidth="1" min="12" max="12"/>
    <col width="60" customWidth="1" min="13" max="13"/>
    <col width="30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43" t="n">
        <v>1</v>
      </c>
      <c r="B2" s="36" t="inlineStr">
        <is>
          <t>第四类·无法配对</t>
        </is>
      </c>
      <c r="C2" s="11" t="inlineStr">
        <is>
          <t>K药 机制上不适用，不应计入战绩对比</t>
        </is>
      </c>
      <c r="D2" s="44" t="inlineStr">
        <is>
          <t>NSCLC</t>
        </is>
      </c>
      <c r="E2" s="11" t="inlineStr">
        <is>
          <t>PD-(L)1 抑制剂经治 / IO 耐药后 晚期</t>
        </is>
      </c>
      <c r="F2" s="13" t="inlineStr">
        <is>
          <t>依沃西 + 含铂化疗；依沃西 20mg/kg + 多西他赛 75mg/m²</t>
        </is>
      </c>
      <c r="G2" s="13" t="inlineStr">
        <is>
          <t>AK112-201 队列 3 与多西他赛队列（NCT04736823，各 n=20）</t>
        </is>
      </c>
      <c r="H2" s="33" t="inlineStr">
        <is>
          <t>II</t>
        </is>
      </c>
      <c r="I2" s="13" t="inlineStr">
        <is>
          <t>+含铂化疗：ORR 40%，mPFS 7.1 m，mOS 15.6 m，mDOR 12.4 m；+多西他赛：mPFS 10.3 m（8.1–11.7）。III 期 AK112-305 / HARMONi-8A（n=536，vs 安慰剂+多西他赛）进行中</t>
        </is>
      </c>
      <c r="J2" s="15" t="inlineStr">
        <is>
          <t>—</t>
        </is>
      </c>
      <c r="K2" s="15" t="inlineStr">
        <is>
          <t>无对等注册试验</t>
        </is>
      </c>
      <c r="L2" s="34" t="inlineStr">
        <is>
          <t>—</t>
        </is>
      </c>
      <c r="M2" s="15" t="inlineStr">
        <is>
          <t>K药 在 IO 耐药后无任何成功注册路径，且 K药 本身就是耐药的来源。retreatment 数据仅零星小样本，无有意义信号</t>
        </is>
      </c>
      <c r="N2" s="17" t="inlineStr">
        <is>
          <t>属于「K药 机制上不适用」，非「K药 失败」</t>
        </is>
      </c>
      <c r="O2" s="11" t="inlineStr">
        <is>
          <t>这条不能算 AK112 战胜 K药。它是 PD-1/VEGF 双抗相对单靶点 PD-1 的机制性新场景。样本仅 20 例/队列，HARMONi-8A 尚无随机读出</t>
        </is>
      </c>
    </row>
    <row r="3">
      <c r="A3" s="43" t="n">
        <v>2</v>
      </c>
      <c r="B3" s="36" t="inlineStr">
        <is>
          <t>第四类·无法配对</t>
        </is>
      </c>
      <c r="C3" s="11" t="inlineStr">
        <is>
          <t>K药 明确失败，但 AK112 数据未公开，无法比较</t>
        </is>
      </c>
      <c r="D3" s="44" t="inlineStr">
        <is>
          <t>胰腺癌（PDAC）</t>
        </is>
      </c>
      <c r="E3" s="11" t="inlineStr">
        <is>
          <t>一线转移性</t>
        </is>
      </c>
      <c r="F3" s="13" t="inlineStr">
        <is>
          <t>依沃西 + 卡度尼利 + 吉西他滨/白蛋白紫杉醇；III 期为 ± AK117</t>
        </is>
      </c>
      <c r="G3" s="13" t="inlineStr">
        <is>
          <t>AK112-210（NCT06646055，n=110）→ AK112-310 / HARMONi-GI2（NCT06952999，n=999）</t>
        </is>
      </c>
      <c r="H3" s="33" t="inlineStr">
        <is>
          <t>Ib/II → III</t>
        </is>
      </c>
      <c r="I3" s="13" t="inlineStr">
        <is>
          <t>II 期疗效数据至今未公开。可参照同公司 AK104+AG 的 COMPASSION-26（n=59）：ORR 33.9%、DCR 96.4%、mPFS 8.5 m、mOS 13.8 m</t>
        </is>
      </c>
      <c r="J3" s="15" t="inlineStr">
        <is>
          <t>pembrolizumab 单药</t>
        </is>
      </c>
      <c r="K3" s="15" t="inlineStr">
        <is>
          <t>KEYNOTE-028 胰腺队列（n=22）</t>
        </is>
      </c>
      <c r="L3" s="34" t="inlineStr">
        <is>
          <t>Ib</t>
        </is>
      </c>
      <c r="M3" s="15" t="inlineStr">
        <is>
          <t>ORR 0%（0/22，95%CI 0–14.2%），mPFS 1.7 m —— K药 全项目最差队列 ❌，从未开展三期</t>
        </is>
      </c>
      <c r="N3" s="17" t="inlineStr">
        <is>
          <t>K药 完败，但 AK112 无公开数据，不可推断</t>
        </is>
      </c>
      <c r="O3" s="11" t="inlineStr">
        <is>
          <t>已启动 999 例 III 期只是开发决策，不是数据。在未公开 II 期数据前，任何「AK112 攻克胰腺癌」的推断都不成立</t>
        </is>
      </c>
    </row>
    <row r="4">
      <c r="A4" s="43" t="n">
        <v>3</v>
      </c>
      <c r="B4" s="36" t="inlineStr">
        <is>
          <t>第四类·无法配对</t>
        </is>
      </c>
      <c r="C4" s="11" t="inlineStr">
        <is>
          <t>期别相差三级，且 AK112 自己也未验证</t>
        </is>
      </c>
      <c r="D4" s="44" t="inlineStr">
        <is>
          <t>小细胞肺癌（SCLC）</t>
        </is>
      </c>
      <c r="E4" s="11" t="inlineStr">
        <is>
          <t>一线广泛期（ES-SCLC），联合依托泊苷+铂</t>
        </is>
      </c>
      <c r="F4" s="13" t="inlineStr">
        <is>
          <t>依沃西 + 依托泊苷 + 卡铂</t>
        </is>
      </c>
      <c r="G4" s="13" t="inlineStr">
        <is>
          <t>AK112-103（NCT05116007，n=32–35）</t>
        </is>
      </c>
      <c r="H4" s="33" t="inlineStr">
        <is>
          <t>Ib</t>
        </is>
      </c>
      <c r="I4" s="13" t="inlineStr">
        <is>
          <t>ORR 87.5%，DCR 96.9%，mPFS 6.9 m，6 个月 PFS 率 52.1%；OS 未成熟（中位随访 7.2 m）</t>
        </is>
      </c>
      <c r="J4" s="15" t="inlineStr">
        <is>
          <t>pembrolizumab + 依托泊苷 + 铂</t>
        </is>
      </c>
      <c r="K4" s="15" t="inlineStr">
        <is>
          <t>KEYNOTE-604（n=453）</t>
        </is>
      </c>
      <c r="L4" s="34" t="inlineStr">
        <is>
          <t>III</t>
        </is>
      </c>
      <c r="M4" s="15" t="inlineStr">
        <is>
          <t>PFS 达标；OS 10.8 vs 9.7 m，HR 0.80，p=0.0164，未过界值 0.0128 ❌。SCLC 三线单药加速批准于 2021 年撤回</t>
        </is>
      </c>
      <c r="N4" s="17" t="inlineStr">
        <is>
          <t>K药 III 期 OS 失败；AK112 仅 Ib 期，尚未验证</t>
        </is>
      </c>
      <c r="O4" s="11" t="inlineStr">
        <is>
          <t>ORR 87.5% 极高但 mPFS 仅 6.9 m，PFS 增量有限（PD-L1+化疗历史约 5.1–5.8 m）。AK112 至今未做 1L ES-SCLC III 期，2025/10 才开随机 II 期；III 期只放在 LS-SCLC 巩固（AK112-311）</t>
        </is>
      </c>
    </row>
    <row r="5">
      <c r="A5" s="43" t="n">
        <v>4</v>
      </c>
      <c r="B5" s="36" t="inlineStr">
        <is>
          <t>第四类·无法配对</t>
        </is>
      </c>
      <c r="C5" s="11" t="inlineStr">
        <is>
          <t>方案不对等（联合 vs 单药），且 K药 最终在 III 期成功</t>
        </is>
      </c>
      <c r="D5" s="44" t="inlineStr">
        <is>
          <t>胆道癌（BTC）</t>
        </is>
      </c>
      <c r="E5" s="11" t="inlineStr">
        <is>
          <t>一线晚期（II 期层面）</t>
        </is>
      </c>
      <c r="F5" s="13" t="inlineStr">
        <is>
          <t>依沃西 + 吉西他滨 + 顺铂</t>
        </is>
      </c>
      <c r="G5" s="13" t="inlineStr">
        <is>
          <t>多中心开放 II 期（J Hepatol 2026，n≈22）</t>
        </is>
      </c>
      <c r="H5" s="33" t="inlineStr">
        <is>
          <t>II</t>
        </is>
      </c>
      <c r="I5" s="13" t="inlineStr">
        <is>
          <t>mOS 16.8 m（历史对照：TOPAZ-1 中 durvalumab+化疗 12.9 m、化疗 11.3 m）</t>
        </is>
      </c>
      <c r="J5" s="15" t="inlineStr">
        <is>
          <t>pembrolizumab 单药</t>
        </is>
      </c>
      <c r="K5" s="15" t="inlineStr">
        <is>
          <t>KEYNOTE-158 胆道队列（n=104）；KEYNOTE-028（n=23）</t>
        </is>
      </c>
      <c r="L5" s="34" t="inlineStr">
        <is>
          <t>II / Ib</t>
        </is>
      </c>
      <c r="M5" s="15" t="inlineStr">
        <is>
          <t>KEYNOTE-158 ORR 5.8%，mPFS 2.0 m，mOS 7.4 m；KEYNOTE-028 ORR 13.0%。单药未获批</t>
        </is>
      </c>
      <c r="N5" s="17" t="inlineStr">
        <is>
          <t>单药 vs 联合化疗，口径不成立</t>
        </is>
      </c>
      <c r="O5" s="11" t="inlineStr">
        <is>
          <t>K药 在该瘤种最终以 KEYNOTE-966（III，+吉西他滨/顺铂）成功获批，因此「K药 在胆道癌没成功」不成立。两者的 II 期数据不可比</t>
        </is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4" customWidth="1" min="3" max="3"/>
    <col width="36" customWidth="1" min="4" max="4"/>
    <col width="34" customWidth="1" min="5" max="5"/>
  </cols>
  <sheetData>
    <row r="1" ht="30" customHeight="1">
      <c r="A1" s="21" t="inlineStr">
        <is>
          <t>瘤种 / 适应症</t>
        </is>
      </c>
      <c r="B1" s="21" t="inlineStr">
        <is>
          <t>期别对齐</t>
        </is>
      </c>
      <c r="C1" s="21" t="inlineStr">
        <is>
          <t>AK112</t>
        </is>
      </c>
      <c r="D1" s="21" t="inlineStr">
        <is>
          <t>K药</t>
        </is>
      </c>
      <c r="E1" s="21" t="inlineStr">
        <is>
          <t>结论</t>
        </is>
      </c>
    </row>
    <row r="2" ht="30" customHeight="1">
      <c r="A2" s="22" t="inlineStr">
        <is>
          <t>EGFR-TKI 后 EGFR+ nsq-NSCLC +化疗</t>
        </is>
      </c>
      <c r="B2" s="23" t="inlineStr">
        <is>
          <t>III vs III ✔</t>
        </is>
      </c>
      <c r="C2" s="24" t="inlineStr">
        <is>
          <t>PFS HR 0.46 / OS HR 0.74 ✅</t>
        </is>
      </c>
      <c r="D2" s="25" t="inlineStr">
        <is>
          <t>PFS HR 0.80 / OS HR 0.84 ❌</t>
        </is>
      </c>
      <c r="E2" s="26" t="inlineStr">
        <is>
          <t>★ AK112 胜（唯一硬结论）</t>
        </is>
      </c>
    </row>
    <row r="3" ht="30" customHeight="1">
      <c r="A3" s="22" t="inlineStr">
        <is>
          <t>一线 PD-L1+ NSCLC 单药</t>
        </is>
      </c>
      <c r="B3" s="23" t="inlineStr">
        <is>
          <t>III vs III ✔</t>
        </is>
      </c>
      <c r="C3" s="24" t="inlineStr">
        <is>
          <t>PFS HR 0.51 / OS 显著 ✅</t>
        </is>
      </c>
      <c r="D3" s="25" t="inlineStr">
        <is>
          <t>获批（但被头对头击败）</t>
        </is>
      </c>
      <c r="E3" s="27" t="inlineStr">
        <is>
          <t>AK112 头对头胜，K药 本身成功</t>
        </is>
      </c>
    </row>
    <row r="4" ht="30" customHeight="1">
      <c r="A4" s="22" t="inlineStr">
        <is>
          <t>一线鳞状 NSCLC +化疗</t>
        </is>
      </c>
      <c r="B4" s="23" t="inlineStr">
        <is>
          <t>III vs III ✔</t>
        </is>
      </c>
      <c r="C4" s="24" t="inlineStr">
        <is>
          <t>PFS HR 0.60 / OS HR 0.66 ✅</t>
        </is>
      </c>
      <c r="D4" s="25" t="inlineStr">
        <is>
          <t>OS HR 0.64 ✅</t>
        </is>
      </c>
      <c r="E4" s="27" t="inlineStr">
        <is>
          <t>两者均成功（对照不同）</t>
        </is>
      </c>
    </row>
    <row r="5" ht="30" customHeight="1">
      <c r="A5" s="22" t="inlineStr">
        <is>
          <t>一线胆道癌 +吉西他滨/顺铂</t>
        </is>
      </c>
      <c r="B5" s="23" t="inlineStr">
        <is>
          <t>III vs III ✔</t>
        </is>
      </c>
      <c r="C5" s="24" t="inlineStr">
        <is>
          <t>OS 显著 ✅（vs 度伐利尤）</t>
        </is>
      </c>
      <c r="D5" s="25" t="inlineStr">
        <is>
          <t>OS HR 0.83 ✅（vs 安慰剂）</t>
        </is>
      </c>
      <c r="E5" s="27" t="inlineStr">
        <is>
          <t>两者均成功，AK112 对照更强</t>
        </is>
      </c>
    </row>
    <row r="6" ht="30" customHeight="1">
      <c r="A6" s="22" t="inlineStr">
        <is>
          <t>一线 MSS/pMMR mCRC +奥沙利铂化疗</t>
        </is>
      </c>
      <c r="B6" s="23" t="inlineStr">
        <is>
          <t>II vs Ib ~</t>
        </is>
      </c>
      <c r="C6" s="24" t="inlineStr">
        <is>
          <t>ORR 70.8%（n=48）→ III 期</t>
        </is>
      </c>
      <c r="D6" s="25" t="inlineStr">
        <is>
          <t>ORR 61%（n=31）→ 放弃</t>
        </is>
      </c>
      <c r="E6" s="27" t="inlineStr">
        <is>
          <t>差距不显著，差在开发决策</t>
        </is>
      </c>
    </row>
    <row r="7" ht="30" customHeight="1">
      <c r="A7" s="22" t="inlineStr">
        <is>
          <t>一线 TNBC（CPS&lt;10）</t>
        </is>
      </c>
      <c r="B7" s="23" t="inlineStr">
        <is>
          <t>II vs II ~</t>
        </is>
      </c>
      <c r="C7" s="24" t="inlineStr">
        <is>
          <t>ORR 79.3% / mPFS 13.0m</t>
        </is>
      </c>
      <c r="D7" s="25" t="inlineStr">
        <is>
          <t>III 期 CPS&lt;10 无获益 ❌</t>
        </is>
      </c>
      <c r="E7" s="27" t="inlineStr">
        <is>
          <t>K药 确证失败，AK112 待验证</t>
        </is>
      </c>
    </row>
    <row r="8" ht="30" customHeight="1">
      <c r="A8" s="22" t="inlineStr">
        <is>
          <t>铂耐药复发卵巢癌 单药</t>
        </is>
      </c>
      <c r="B8" s="23" t="inlineStr">
        <is>
          <t>Ia vs II ✘</t>
        </is>
      </c>
      <c r="C8" s="24" t="inlineStr">
        <is>
          <t>ORR 26.3%（n=19）</t>
        </is>
      </c>
      <c r="D8" s="25" t="inlineStr">
        <is>
          <t>ORR 8.0%（n=376）❌</t>
        </is>
      </c>
      <c r="E8" s="27" t="inlineStr">
        <is>
          <t>两家都放弃，不成结论</t>
        </is>
      </c>
    </row>
    <row r="9" ht="30" customHeight="1">
      <c r="A9" s="22" t="inlineStr">
        <is>
          <t>可切除 NSCLC 围手术期</t>
        </is>
      </c>
      <c r="B9" s="23" t="inlineStr">
        <is>
          <t>II vs III ✘</t>
        </is>
      </c>
      <c r="C9" s="24" t="inlineStr">
        <is>
          <t>pCR 43.6–52.7%（单臂）</t>
        </is>
      </c>
      <c r="D9" s="25" t="inlineStr">
        <is>
          <t>pCR 18.1%，EFS HR 0.58 ✅</t>
        </is>
      </c>
      <c r="E9" s="27" t="inlineStr">
        <is>
          <t>K药 已成功，期别不对等</t>
        </is>
      </c>
    </row>
    <row r="10" ht="30" customHeight="1">
      <c r="A10" s="22" t="inlineStr">
        <is>
          <t>局晚 HNSCC 新辅助</t>
        </is>
      </c>
      <c r="B10" s="23" t="inlineStr">
        <is>
          <t>II vs III ✘</t>
        </is>
      </c>
      <c r="C10" s="24" t="inlineStr">
        <is>
          <t>pCR 50%（n=36 单中心）</t>
        </is>
      </c>
      <c r="D10" s="25" t="inlineStr">
        <is>
          <t>EFS HR 0.70 ✅ 获批</t>
        </is>
      </c>
      <c r="E10" s="27" t="inlineStr">
        <is>
          <t>K药 已成功</t>
        </is>
      </c>
    </row>
    <row r="11" ht="30" customHeight="1">
      <c r="A11" s="22" t="inlineStr">
        <is>
          <t>一线 G/GEJ 胃癌 +化疗</t>
        </is>
      </c>
      <c r="B11" s="23" t="inlineStr">
        <is>
          <t>II vs III/II ~</t>
        </is>
      </c>
      <c r="C11" s="24" t="inlineStr">
        <is>
          <t>ORR 71.7%（需叠 AK104）</t>
        </is>
      </c>
      <c r="D11" s="25" t="inlineStr">
        <is>
          <t>OS HR 0.78 ✅；II 期 ORR 60%</t>
        </is>
      </c>
      <c r="E11" s="27" t="inlineStr">
        <is>
          <t>K药 已成功，差距有限</t>
        </is>
      </c>
    </row>
    <row r="12" ht="30" customHeight="1">
      <c r="A12" s="22" t="inlineStr">
        <is>
          <t>IO 耐药后 NSCLC</t>
        </is>
      </c>
      <c r="B12" s="23" t="inlineStr">
        <is>
          <t>II vs 无 ✘</t>
        </is>
      </c>
      <c r="C12" s="24" t="inlineStr">
        <is>
          <t>ORR 40% / mPFS 7.1–10.3m</t>
        </is>
      </c>
      <c r="D12" s="25" t="inlineStr">
        <is>
          <t>无对等试验（机制不适用）</t>
        </is>
      </c>
      <c r="E12" s="27" t="inlineStr">
        <is>
          <t>不应计入战绩对比</t>
        </is>
      </c>
    </row>
    <row r="13" ht="30" customHeight="1">
      <c r="A13" s="22" t="inlineStr">
        <is>
          <t>一线转移性胰腺癌</t>
        </is>
      </c>
      <c r="B13" s="23" t="inlineStr">
        <is>
          <t>II vs Ib ✘</t>
        </is>
      </c>
      <c r="C13" s="24" t="inlineStr">
        <is>
          <t>数据未公开</t>
        </is>
      </c>
      <c r="D13" s="25" t="inlineStr">
        <is>
          <t>ORR 0%（n=22）❌</t>
        </is>
      </c>
      <c r="E13" s="27" t="inlineStr">
        <is>
          <t>K药 完败但 AK112 无数据</t>
        </is>
      </c>
    </row>
    <row r="14" ht="30" customHeight="1">
      <c r="A14" s="22" t="inlineStr">
        <is>
          <t>一线 ES-SCLC +EP</t>
        </is>
      </c>
      <c r="B14" s="23" t="inlineStr">
        <is>
          <t>Ib vs III ✘</t>
        </is>
      </c>
      <c r="C14" s="24" t="inlineStr">
        <is>
          <t>ORR 87.5% / mPFS 6.9m</t>
        </is>
      </c>
      <c r="D14" s="25" t="inlineStr">
        <is>
          <t>OS HR 0.80，p=0.0164 ❌</t>
        </is>
      </c>
      <c r="E14" s="27" t="inlineStr">
        <is>
          <t>K药 III 期败，AK112 未验证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0" customWidth="1" min="4" max="4"/>
    <col width="30" customWidth="1" min="5" max="5"/>
    <col width="26" customWidth="1" min="6" max="6"/>
    <col width="34" customWidth="1" min="7" max="7"/>
    <col width="12" customWidth="1" min="8" max="8"/>
    <col width="60" customWidth="1" min="9" max="9"/>
    <col width="30" customWidth="1" min="10" max="10"/>
    <col width="32" customWidth="1" min="11" max="11"/>
    <col width="12" customWidth="1" min="12" max="12"/>
    <col width="60" customWidth="1" min="13" max="13"/>
    <col width="32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43" t="n">
        <v>1</v>
      </c>
      <c r="B2" s="31" t="inlineStr">
        <is>
          <t>R1·完全对等（K药胜/AK112败）</t>
        </is>
      </c>
      <c r="C2" s="11" t="inlineStr">
        <is>
          <t>★★★★★ 同瘤种/同线数/同期别/同方案（单药）</t>
        </is>
      </c>
      <c r="D2" s="44" t="inlineStr">
        <is>
          <t>肝细胞癌（HCC）</t>
        </is>
      </c>
      <c r="E2" s="11" t="inlineStr">
        <is>
          <t>系统治疗后 晚期，单药</t>
        </is>
      </c>
      <c r="F2" s="13" t="inlineStr">
        <is>
          <t>依沃西单药（2 个队列）</t>
        </is>
      </c>
      <c r="G2" s="13" t="inlineStr">
        <is>
          <t>AK112-207（NCT05432492，n=40）</t>
        </is>
      </c>
      <c r="H2" s="33" t="inlineStr">
        <is>
          <t>II</t>
        </is>
      </c>
      <c r="I2" s="13" t="inlineStr">
        <is>
          <t>2022/8 启动、2025/6/14 完成，主要终点为 ORR（RECIST v1.1 / mRECIST），**疗效数据至今未公开** ❌；无 HCC III 期；方向已改为 AK112-209（NCT06530251，Ib/II，n=280，随机对照信迪利单抗+贝伐类似物）重启，另有 TACE/HAIC 联合 IIT</t>
        </is>
      </c>
      <c r="J2" s="15" t="inlineStr">
        <is>
          <t>pembrolizumab 200mg Q3W 单药</t>
        </is>
      </c>
      <c r="K2" s="15" t="inlineStr">
        <is>
          <t>KEYNOTE-224（n=104）→ KEYNOTE-394（n=453，亚洲）</t>
        </is>
      </c>
      <c r="L2" s="34" t="inlineStr">
        <is>
          <t>II → III</t>
        </is>
      </c>
      <c r="M2" s="15" t="inlineStr">
        <is>
          <t>KEYNOTE-224：ORR 17%、DOR 持久 → 2018/11 加速批准 ✅；KEYNOTE-394：二线 OS HR 0.79，p=0.0180（界值 0.0193）→ 转为完全批准 ✅</t>
        </is>
      </c>
      <c r="N2" s="17" t="inlineStr">
        <is>
          <t>K药 II 期成功获批并 III 期确证 / AK112 II 期隐性失败</t>
        </is>
      </c>
      <c r="O2" s="11" t="inlineStr">
        <is>
          <t>「数据未公开」不等于阴性，但「完成后 15 个月不披露 + 无 III 期 + 换随机对照方案重启」是隐性失败的标准特征。同时须承认 K药 这条也不硬：ORR 17% 本身不高，靠 DOR 与无替代疗法获批，且全球确证试验 KEYNOTE-240 曾失败，靠亚洲 KEYNOTE-394 补救</t>
        </is>
      </c>
    </row>
    <row r="3">
      <c r="A3" s="43" t="n">
        <v>2</v>
      </c>
      <c r="B3" s="31" t="inlineStr">
        <is>
          <t>R1·完全对等（K药胜/AK112败）</t>
        </is>
      </c>
      <c r="C3" s="11" t="inlineStr">
        <is>
          <t>★★★★★ 同瘤种/同线数/同期别/同方案（单药）</t>
        </is>
      </c>
      <c r="D3" s="44" t="inlineStr">
        <is>
          <t>宫颈癌</t>
        </is>
      </c>
      <c r="E3" s="11" t="inlineStr">
        <is>
          <t>既往化疗失败 晚期，单药</t>
        </is>
      </c>
      <c r="F3" s="13" t="inlineStr">
        <is>
          <t>依沃西单药</t>
        </is>
      </c>
      <c r="G3" s="13" t="inlineStr">
        <is>
          <t>AK112-203（NCT04870177，n=53，含卵巢/宫颈/内膜癌）</t>
        </is>
      </c>
      <c r="H3" s="33" t="inlineStr">
        <is>
          <t>II</t>
        </is>
      </c>
      <c r="I3" s="13" t="inlineStr">
        <is>
          <t>2021/4 启动、2024/5/10 完成，主要终点 FAS 人群 ORR，**至今未公开任何疗效数据** ❌；未启动任何妇科 III 期；方向转为 AK104+AK112 复发卵巢（NCT06560112）与 AK112-211 铂敏感卵巢（NCT06686030）重新探索</t>
        </is>
      </c>
      <c r="J3" s="15" t="inlineStr">
        <is>
          <t>pembrolizumab 200mg Q3W 单药</t>
        </is>
      </c>
      <c r="K3" s="15" t="inlineStr">
        <is>
          <t>KEYNOTE-158 队列 E（n=98）</t>
        </is>
      </c>
      <c r="L3" s="34" t="inlineStr">
        <is>
          <t>II</t>
        </is>
      </c>
      <c r="M3" s="15" t="inlineStr">
        <is>
          <t>ORR 12.2%（全体，3 CR + 9 PR）/ 14.6%（CPS≥1，n=82）/ 14.3%（CPS≥1 且 ≥1 线化疗，n=77，即 FDA 标签人群）；DOR 未达，91% 应答持续 ≥6 月；CPS&lt;1 者 ORR 0% → 2018/6 加速批准 ✅。后续 III 期 KEYNOTE-826（OS HR 0.60）与 KEYNOTE-A18（OS HR 0.67）双双成功 ✅</t>
        </is>
      </c>
      <c r="N3" s="17" t="inlineStr">
        <is>
          <t>K药 II 期成功获批并 III 期确证 / AK112 II 期隐性失败</t>
        </is>
      </c>
      <c r="O3" s="11" t="inlineStr">
        <is>
          <t>K药 该二线单药加速批准已于 2024 撤回，但撤回原因是被自家一线方案（KEYNOTE-826）取代，非疗效失败，宫颈癌整体仍是 K药 的强适应症。AK112 未披露 ORR，理论上无法排除「有效但战略放弃」，但已改走联合路线，等于承认单药路线不成立</t>
        </is>
      </c>
    </row>
    <row r="4">
      <c r="A4" s="43" t="n">
        <v>3</v>
      </c>
      <c r="B4" s="31" t="inlineStr">
        <is>
          <t>R1·完全对等（K药胜/AK112败）</t>
        </is>
      </c>
      <c r="C4" s="11" t="inlineStr">
        <is>
          <t>★★★★☆ 同瘤种/同方案（单药），期别 II vs Ia/Ib+II</t>
        </is>
      </c>
      <c r="D4" s="44" t="inlineStr">
        <is>
          <t>子宫内膜癌</t>
        </is>
      </c>
      <c r="E4" s="11" t="inlineStr">
        <is>
          <t>既往治疗失败 晚期，单药</t>
        </is>
      </c>
      <c r="F4" s="13" t="inlineStr">
        <is>
          <t>依沃西单药</t>
        </is>
      </c>
      <c r="G4" s="13" t="inlineStr">
        <is>
          <t>AK112-101 / AK112-102（NCT04047290 / NCT04597541）扩展队列；AK112-203（II）</t>
        </is>
      </c>
      <c r="H4" s="33" t="inlineStr">
        <is>
          <t>Ia / Ib（+II）</t>
        </is>
      </c>
      <c r="I4" s="13" t="inlineStr">
        <is>
          <t>内膜癌（pMMR/dMMR）单药仅个别 PR，**未形成队列级可注册疗效** ❌；AK112-203（II 期，含内膜癌）数据不公开；无任何内膜癌 III 期</t>
        </is>
      </c>
      <c r="J4" s="15" t="inlineStr">
        <is>
          <t>pembrolizumab 200mg Q3W 单药（dMMR 富集）</t>
        </is>
      </c>
      <c r="K4" s="15" t="inlineStr">
        <is>
          <t>KEYNOTE-158 队列 D；KEYNOTE-028 内膜癌队列（n=24）</t>
        </is>
      </c>
      <c r="L4" s="34" t="inlineStr">
        <is>
          <t>II / Ib</t>
        </is>
      </c>
      <c r="M4" s="15" t="inlineStr">
        <is>
          <t>KEYNOTE-158 队列 D（dMMR）ORR 48–50% ✅ 获批；KEYNOTE-028（Ib，未富集）ORR 13.0%（3/24，1 例携 POLE 突变）。后续 NRG-GY018（III）dMMR PFS HR 0.30 ✅、KEYNOTE-775（III，pMMR +lenvatinib）OS HR 0.68 ✅</t>
        </is>
      </c>
      <c r="N4" s="17" t="inlineStr">
        <is>
          <t>K药 靠 dMMR 分子富集大获成功 / AK112 未形成可注册疗效</t>
        </is>
      </c>
      <c r="O4" s="11" t="inlineStr">
        <is>
          <t>【关键限定】核心差异是「分子选择策略」而非药物本身：K药 在未富集人群（KEYNOTE-028 Ib）ORR 也只有 13%，与 AK112 的个别 PR 量级接近。AK112 从未做过 dMMR 富集队列，人群不可比。这更像是康方研发设计上的缺失，不能直接推断药物更弱</t>
        </is>
      </c>
    </row>
    <row r="5">
      <c r="A5" s="43" t="n">
        <v>4</v>
      </c>
      <c r="B5" s="31" t="inlineStr">
        <is>
          <t>R1·完全对等（K药胜/AK112败）</t>
        </is>
      </c>
      <c r="C5" s="11" t="inlineStr">
        <is>
          <t>★★★☆☆ 同瘤种/同线数/同方案（单药），但 AK112 n=10 且剂量偏低</t>
        </is>
      </c>
      <c r="D5" s="44" t="inlineStr">
        <is>
          <t>头颈鳞癌（HNSCC）</t>
        </is>
      </c>
      <c r="E5" s="11" t="inlineStr">
        <is>
          <t>一线 PD-L1 阳性 复发/转移，单药</t>
        </is>
      </c>
      <c r="F5" s="13" t="inlineStr">
        <is>
          <t>依沃西 10mg/kg 单药</t>
        </is>
      </c>
      <c r="G5" s="13" t="inlineStr">
        <is>
          <t>AK117-201 依沃西单药臂（NCT05229497，n=10）</t>
        </is>
      </c>
      <c r="H5" s="33" t="inlineStr">
        <is>
          <t>Ib/II</t>
        </is>
      </c>
      <c r="I5" s="13" t="inlineStr">
        <is>
          <t>ORR 30%（数据截后更新 40%），DCR 80%，mPFS 5.0 m。分层异常：CPS 1–20 亚组 ORR 75%，**CPS≥20 亚组 ORR 0%**。康方自评「单药路线不成立」，III 期（SOLO-10 / ILLUMINE）全部改走联合 ❌</t>
        </is>
      </c>
      <c r="J5" s="15" t="inlineStr">
        <is>
          <t>pembrolizumab 10mg/kg Q2W 或 200mg Q3W 单药</t>
        </is>
      </c>
      <c r="K5" s="15" t="inlineStr">
        <is>
          <t>KEYNOTE-012 HNSCC 队列（n=192 汇总）</t>
        </is>
      </c>
      <c r="L5" s="34" t="inlineStr">
        <is>
          <t>Ib</t>
        </is>
      </c>
      <c r="M5" s="15" t="inlineStr">
        <is>
          <t>ORR 18%（34/192；8 CR + 26 PR），DOR 未达，65% 应答者仍在应答（最长 30+ 月），85% 应答持续 ≥6 月 → 2016/8 加速批准 ✅ → KEYNOTE-048（III）CPS≥20 单药 OS HR 0.61 ✅ 完全批准，成为一线标准</t>
        </is>
      </c>
      <c r="N5" s="17" t="inlineStr">
        <is>
          <t>K药 单药路线从 Ib 走通至 III 期获批 / AK112 单药路线废弃</t>
        </is>
      </c>
      <c r="O5" s="11" t="inlineStr">
        <is>
          <t>三点必须同时看：①AK112 仅 n=10，统计上无法定论；②剂量仅 10mg/kg，低于推荐的 20mg/kg，康方自己在「疗效退坡与风险标注」中承认存在明确剂量-效应关系，可能低估药物潜力；③但 CPS≥20 亚组 ORR 0% 与 K药「CPS 越高获益越大」（HR 0.61）方向性相反，是本表唯一实质性的反向机制信号</t>
        </is>
      </c>
    </row>
    <row r="6">
      <c r="A6" s="43" t="n">
        <v>5</v>
      </c>
      <c r="B6" s="35" t="inlineStr">
        <is>
          <t>R2·AK112 头对头未证优效（未定论）</t>
        </is>
      </c>
      <c r="C6" s="11" t="inlineStr">
        <is>
          <t>★★★★☆ 同瘤种/同线数/同期别，且 K药 即为对照组</t>
        </is>
      </c>
      <c r="D6" s="44" t="inlineStr">
        <is>
          <t>NSCLC（鳞）</t>
        </is>
      </c>
      <c r="E6" s="11" t="inlineStr">
        <is>
          <t>一线转移性，联合含铂化疗（头对头 K药+化疗）</t>
        </is>
      </c>
      <c r="F6" s="13" t="inlineStr">
        <is>
          <t>依沃西 + 含铂化疗</t>
        </is>
      </c>
      <c r="G6" s="13" t="inlineStr">
        <is>
          <t>HARMONi-3 / AK112-302（NCT05899608，n=1600，鳞/非鳞独立效能）</t>
        </is>
      </c>
      <c r="H6" s="33" t="inlineStr">
        <is>
          <t>III</t>
        </is>
      </c>
      <c r="I6" s="13" t="inlineStr">
        <is>
          <t>2026/4/30 披露：新增的**期中 PFS 分析未达统计学界值** ❌（α 消耗极少、门槛远高于最终分析）；IDMC 建议研究按计划继续，具体数值未披露。鳞/非鳞两队列均已完成入组。公布当日 SMMT 跌约 25%</t>
        </is>
      </c>
      <c r="J6" s="15" t="inlineStr">
        <is>
          <t>pembrolizumab + 卡铂 + 紫杉醇/白蛋白紫杉醇（本试验对照组）</t>
        </is>
      </c>
      <c r="K6" s="15" t="inlineStr">
        <is>
          <t>KEYNOTE-407（鳞，n=559）；KEYNOTE-189（非鳞，n=616）</t>
        </is>
      </c>
      <c r="L6" s="34" t="inlineStr">
        <is>
          <t>III</t>
        </is>
      </c>
      <c r="M6" s="15" t="inlineStr">
        <is>
          <t>KEYNOTE-407：OS 17.1 vs 11.6 m，HR 0.64 ✅；KEYNOTE-189：OS 22.0 vs 10.6 m，HR 0.56 ✅。两者均已获批并成为全球一线标准治疗</t>
        </is>
      </c>
      <c r="N6" s="17" t="inlineStr">
        <is>
          <t>K药 已是标准治疗 / AK112 头对头期中 PFS 未达界值（未定论）</t>
        </is>
      </c>
      <c r="O6" s="11" t="inlineStr">
        <is>
          <t>四点：①这是「AK112 未能证明优于 K药」，不是「AK112 绝对无效」；②期中门槛远高于最终分析，最终 PFS 在 2026 H2、独立 OS 期中在 2027 H1；③**内部矛盾值得高度关注**：HARMONi-6（鳞癌，vs 替雷利珠+化疗，全中国）OS HR 0.66 成功，而 HARMONi-3（鳞癌，vs K药+化疗，全球）期中 PFS 未达——可能说明 K药+化疗 强于替雷利珠+化疗，或存在人群/地区可转化性问题；④Leerink（2026/8/14）预计 HARMONi-3 的 OS 改善 &lt;20%</t>
        </is>
      </c>
    </row>
    <row r="7">
      <c r="A7" s="43" t="n">
        <v>6</v>
      </c>
      <c r="B7" s="36" t="inlineStr">
        <is>
          <t>R3·两者均未成功（不构成K药胜）</t>
        </is>
      </c>
      <c r="C7" s="11" t="inlineStr">
        <is>
          <t>同瘤种/同线数/同期别/同方案 —— 但双方都失败</t>
        </is>
      </c>
      <c r="D7" s="44" t="inlineStr">
        <is>
          <t>NSCLC（非鳞，EGFR 突变）</t>
        </is>
      </c>
      <c r="E7" s="11" t="inlineStr">
        <is>
          <t>EGFR-TKI 进展后 二线，全球人群的 OS 终点</t>
        </is>
      </c>
      <c r="F7" s="13" t="inlineStr">
        <is>
          <t>依沃西 20mg/kg + 培美曲塞 + 卡铂</t>
        </is>
      </c>
      <c r="G7" s="13" t="inlineStr">
        <is>
          <t>HARMONi（NCT06395065）</t>
        </is>
      </c>
      <c r="H7" s="33" t="inlineStr">
        <is>
          <t>III</t>
        </is>
      </c>
      <c r="I7" s="13" t="inlineStr">
        <is>
          <t>OS HR 0.79（0.62–1.01），p=0.057，未达界值 ❌；2025/9 更新 HR 0.78，nominal p=0.0332 但 α 已用尽（非正式成功）；西方亚组 OS HR 0.98 → 0.84 → 0.76，始终无统计学显著</t>
        </is>
      </c>
      <c r="J7" s="15" t="inlineStr">
        <is>
          <t>pembrolizumab + 培美曲塞 + 铂</t>
        </is>
      </c>
      <c r="K7" s="15" t="inlineStr">
        <is>
          <t>KEYNOTE-789</t>
        </is>
      </c>
      <c r="L7" s="34" t="inlineStr">
        <is>
          <t>III</t>
        </is>
      </c>
      <c r="M7" s="15" t="inlineStr">
        <is>
          <t>OS HR 0.84（0.69–1.02），p=0.0362，未达界值 0.0118 ❌</t>
        </is>
      </c>
      <c r="N7" s="17" t="inlineStr">
        <is>
          <t>两者均失败，不构成 K药 胜出</t>
        </is>
      </c>
      <c r="O7" s="11" t="inlineStr">
        <is>
          <t>写在这里是为了对称：不要把 K药 在此的失败当作 AK112 的胜利，也不要反过来。该适应症上 AK112 的真实优势只在 PFS 与中国人群 OS（见第一类）</t>
        </is>
      </c>
    </row>
    <row r="8">
      <c r="A8" s="43" t="n">
        <v>7</v>
      </c>
      <c r="B8" s="36" t="inlineStr">
        <is>
          <t>R3·两者均未成功（不构成K药胜）</t>
        </is>
      </c>
      <c r="C8" s="11" t="inlineStr">
        <is>
          <t>同瘤种/同线数/同方案（单药）—— 双方均未获批</t>
        </is>
      </c>
      <c r="D8" s="44" t="inlineStr">
        <is>
          <t>卵巢癌 / 输卵管 / 原发腹膜癌</t>
        </is>
      </c>
      <c r="E8" s="11" t="inlineStr">
        <is>
          <t>铂耐药复发，单药</t>
        </is>
      </c>
      <c r="F8" s="13" t="inlineStr">
        <is>
          <t>依沃西 10 或 20mg/kg 单药</t>
        </is>
      </c>
      <c r="G8" s="13" t="inlineStr">
        <is>
          <t>AK112-101 Ia 扩展（n=19）；AK112-203（II，n=53）</t>
        </is>
      </c>
      <c r="H8" s="33" t="inlineStr">
        <is>
          <t>Ia / II</t>
        </is>
      </c>
      <c r="I8" s="13" t="inlineStr">
        <is>
          <t>Ia ORR 26.3%（20mg/kg 30.0%）但未推进注册路径；AK112-203 数据不公开 ❌</t>
        </is>
      </c>
      <c r="J8" s="15" t="inlineStr">
        <is>
          <t>pembrolizumab 200mg 单药</t>
        </is>
      </c>
      <c r="K8" s="15" t="inlineStr">
        <is>
          <t>KEYNOTE-100（n=376）；KEYNOTE-028 卵巢队列（n=26）</t>
        </is>
      </c>
      <c r="L8" s="34" t="inlineStr">
        <is>
          <t>II / Ib</t>
        </is>
      </c>
      <c r="M8" s="15" t="inlineStr">
        <is>
          <t>KEYNOTE-100 ORR 8.0%、DCR 37.2%、mPFS 2.1 m ❌；KEYNOTE-028 ORR 约 11.5% ❌。均未获批，方向放弃</t>
        </is>
      </c>
      <c r="N8" s="17" t="inlineStr">
        <is>
          <t>两者均未成功</t>
        </is>
      </c>
      <c r="O8" s="11" t="inlineStr">
        <is>
          <t>卵巢癌是 PD-1 类药物公认的失败区。AK112 数字更高但 n=19 vs n=376，且自己也放弃</t>
        </is>
      </c>
    </row>
    <row r="9">
      <c r="A9" s="43" t="n">
        <v>8</v>
      </c>
      <c r="B9" s="36" t="inlineStr">
        <is>
          <t>R3·两者均未成功（不构成K药胜）</t>
        </is>
      </c>
      <c r="C9" s="11" t="inlineStr">
        <is>
          <t>非疗效性失败，不可解读为阴性</t>
        </is>
      </c>
      <c r="D9" s="44" t="inlineStr">
        <is>
          <t>卵巢癌</t>
        </is>
      </c>
      <c r="E9" s="11" t="inlineStr">
        <is>
          <t>复发，联合 PARP 抑制剂</t>
        </is>
      </c>
      <c r="F9" s="13" t="inlineStr">
        <is>
          <t>依沃西 + PARP 抑制剂</t>
        </is>
      </c>
      <c r="G9" s="13" t="inlineStr">
        <is>
          <t>AK112-204（NCT04999605，实际入组 8 例）</t>
        </is>
      </c>
      <c r="H9" s="33" t="inlineStr">
        <is>
          <t>Ib/II</t>
        </is>
      </c>
      <c r="I9" s="13" t="inlineStr">
        <is>
          <t>状态 **TERMINATED**，官方理由「Too low inclusion rate（入组率过低）」，无任何疗效数据 ❌</t>
        </is>
      </c>
      <c r="J9" s="15" t="inlineStr">
        <is>
          <t>pembrolizumab + 尼拉帕利</t>
        </is>
      </c>
      <c r="K9" s="15" t="inlineStr">
        <is>
          <t>TOPACIO / KEYNOTE-162（n=62）</t>
        </is>
      </c>
      <c r="L9" s="34" t="inlineStr">
        <is>
          <t>II</t>
        </is>
      </c>
      <c r="M9" s="15" t="inlineStr">
        <is>
          <t>ORR 18%（BRCA 野生型亦有应答），但未获批、未推进 III 期 ❌</t>
        </is>
      </c>
      <c r="N9" s="17" t="inlineStr">
        <is>
          <t>两者均未走通；AK112 属非疗效性失败</t>
        </is>
      </c>
      <c r="O9" s="11" t="inlineStr">
        <is>
          <t>AK112-204 的终止理由是入组问题而非疗效阴性，不能计入疗效败绩。K药 侧同样没有走通，故不构成 K药 胜出</t>
        </is>
      </c>
    </row>
    <row r="10">
      <c r="A10" s="43" t="n">
        <v>9</v>
      </c>
      <c r="B10" s="36" t="inlineStr">
        <is>
          <t>R3·两者均未成功（不构成K药胜）</t>
        </is>
      </c>
      <c r="C10" s="11" t="inlineStr">
        <is>
          <t>同瘤种/同方案（单药）—— K药 更差</t>
        </is>
      </c>
      <c r="D10" s="44" t="inlineStr">
        <is>
          <t>结直肠癌（MSS/pMMR）</t>
        </is>
      </c>
      <c r="E10" s="11" t="inlineStr">
        <is>
          <t>晚期经治，单药</t>
        </is>
      </c>
      <c r="F10" s="13" t="inlineStr">
        <is>
          <t>依沃西单药</t>
        </is>
      </c>
      <c r="G10" s="13" t="inlineStr">
        <is>
          <t>AK112-101 / AK112-102 扩展队列</t>
        </is>
      </c>
      <c r="H10" s="33" t="inlineStr">
        <is>
          <t>Ia / Ib</t>
        </is>
      </c>
      <c r="I10" s="13" t="inlineStr">
        <is>
          <t>仅个别 PR，未形成队列级疗效，单药路线废弃（后改走「+化疗」路线才成立）❌</t>
        </is>
      </c>
      <c r="J10" s="15" t="inlineStr">
        <is>
          <t>pembrolizumab 200mg 单药</t>
        </is>
      </c>
      <c r="K10" s="15" t="inlineStr">
        <is>
          <t>KEYNOTE-016 MSS 队列；KEYNOTE-028 CRC 队列（n=23）</t>
        </is>
      </c>
      <c r="L10" s="34" t="inlineStr">
        <is>
          <t>II / Ib</t>
        </is>
      </c>
      <c r="M10" s="15" t="inlineStr">
        <is>
          <t>KEYNOTE-016 MSS 队列 ORR **0%** ❌；KEYNOTE-028 ORR 4%（1/23）❌。从未开展三期</t>
        </is>
      </c>
      <c r="N10" s="17" t="inlineStr">
        <is>
          <t>两者均失败，K药 数字更差</t>
        </is>
      </c>
      <c r="O10" s="11" t="inlineStr">
        <is>
          <t>该瘤种上双方结论一致：PD-1 单药在 MSS CRC 无效。AK112 的价值出现在联合化疗后（见正向第二类）</t>
        </is>
      </c>
    </row>
    <row r="11">
      <c r="A11" s="43" t="n">
        <v>10</v>
      </c>
      <c r="B11" s="36" t="inlineStr">
        <is>
          <t>R3·两者均未成功（不构成K药胜）</t>
        </is>
      </c>
      <c r="C11" s="11" t="inlineStr">
        <is>
          <t>同瘤种/同方案（单药）—— K药 数据更完整但同样未获批</t>
        </is>
      </c>
      <c r="D11" s="44" t="inlineStr">
        <is>
          <t>恶性胸膜间皮瘤</t>
        </is>
      </c>
      <c r="E11" s="11" t="inlineStr">
        <is>
          <t>既往治疗过，单药</t>
        </is>
      </c>
      <c r="F11" s="13" t="inlineStr">
        <is>
          <t>依沃西单药</t>
        </is>
      </c>
      <c r="G11" s="13" t="inlineStr">
        <is>
          <t>AK112-101 Ia 扩展；少量 IIT（NCT06840834、NCT06875076 无读出）</t>
        </is>
      </c>
      <c r="H11" s="33" t="inlineStr">
        <is>
          <t>Ia</t>
        </is>
      </c>
      <c r="I11" s="13" t="inlineStr">
        <is>
          <t>仅个别 PR，未形成队列级疗效 ❌</t>
        </is>
      </c>
      <c r="J11" s="15" t="inlineStr">
        <is>
          <t>pembrolizumab 200mg 单药</t>
        </is>
      </c>
      <c r="K11" s="15" t="inlineStr">
        <is>
          <t>KEYNOTE-158 间皮瘤队列（n=118）；III 期 PROMISE-meso</t>
        </is>
      </c>
      <c r="L11" s="34" t="inlineStr">
        <is>
          <t>II / III</t>
        </is>
      </c>
      <c r="M11" s="15" t="inlineStr">
        <is>
          <t>KEYNOTE-158 ORR 8.0%（10/118）、DOR 14.3 m、mOS 10.0 m；III 期 PROMISE-meso PFS/OS 均未达 ❌。未获批</t>
        </is>
      </c>
      <c r="N11" s="17" t="inlineStr">
        <is>
          <t>两者均未成功</t>
        </is>
      </c>
      <c r="O11" s="11" t="inlineStr">
        <is>
          <t>K药 形成了 118 例队列级数据且 DOR 长达 14.3 月（AK112 只有个别 PR），但 III 期失败、未获批，因此不能算 K药「成功」</t>
        </is>
      </c>
    </row>
    <row r="12">
      <c r="A12" s="43" t="n">
        <v>11</v>
      </c>
      <c r="B12" s="36" t="inlineStr">
        <is>
          <t>R3·两者均未成功（不构成K药胜）</t>
        </is>
      </c>
      <c r="C12" s="11" t="inlineStr">
        <is>
          <t>同瘤种/同方案（单药）—— K药 数据更完整但同样未获批</t>
        </is>
      </c>
      <c r="D12" s="44" t="inlineStr">
        <is>
          <t>肛管鳞癌</t>
        </is>
      </c>
      <c r="E12" s="11" t="inlineStr">
        <is>
          <t>既往治疗过，单药</t>
        </is>
      </c>
      <c r="F12" s="13" t="inlineStr">
        <is>
          <t>依沃西单药</t>
        </is>
      </c>
      <c r="G12" s="13" t="inlineStr">
        <is>
          <t>AK112-101 Ia 扩展</t>
        </is>
      </c>
      <c r="H12" s="33" t="inlineStr">
        <is>
          <t>Ia</t>
        </is>
      </c>
      <c r="I12" s="13" t="inlineStr">
        <is>
          <t>仅个别 PR ❌</t>
        </is>
      </c>
      <c r="J12" s="15" t="inlineStr">
        <is>
          <t>pembrolizumab 200mg 单药</t>
        </is>
      </c>
      <c r="K12" s="15" t="inlineStr">
        <is>
          <t>KEYNOTE-158 队列 A（n=112）</t>
        </is>
      </c>
      <c r="L12" s="34" t="inlineStr">
        <is>
          <t>II</t>
        </is>
      </c>
      <c r="M12" s="15" t="inlineStr">
        <is>
          <t>ORR 11%（12/112）；PD-L1+ 15% vs PD-L1− 3%；mOS 11.9 m；DOR 未达 ❌。未获批</t>
        </is>
      </c>
      <c r="N12" s="17" t="inlineStr">
        <is>
          <t>两者均未成功</t>
        </is>
      </c>
      <c r="O12" s="11" t="inlineStr">
        <is>
          <t>同上：K药 数据体量与质量占优，但未获批，不构成成功</t>
        </is>
      </c>
    </row>
  </sheetData>
  <autoFilter ref="A1:O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0" customWidth="1" min="4" max="4"/>
    <col width="30" customWidth="1" min="5" max="5"/>
    <col width="26" customWidth="1" min="6" max="6"/>
    <col width="34" customWidth="1" min="7" max="7"/>
    <col width="12" customWidth="1" min="8" max="8"/>
    <col width="60" customWidth="1" min="9" max="9"/>
    <col width="30" customWidth="1" min="10" max="10"/>
    <col width="32" customWidth="1" min="11" max="11"/>
    <col width="12" customWidth="1" min="12" max="12"/>
    <col width="60" customWidth="1" min="13" max="13"/>
    <col width="32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43" t="n">
        <v>1</v>
      </c>
      <c r="B2" s="31" t="inlineStr">
        <is>
          <t>R1·完全对等（K药胜/AK112败）</t>
        </is>
      </c>
      <c r="C2" s="11" t="inlineStr">
        <is>
          <t>★★★★★ 同瘤种/同线数/同期别/同方案（单药）</t>
        </is>
      </c>
      <c r="D2" s="44" t="inlineStr">
        <is>
          <t>肝细胞癌（HCC）</t>
        </is>
      </c>
      <c r="E2" s="11" t="inlineStr">
        <is>
          <t>系统治疗后 晚期，单药</t>
        </is>
      </c>
      <c r="F2" s="13" t="inlineStr">
        <is>
          <t>依沃西单药（2 个队列）</t>
        </is>
      </c>
      <c r="G2" s="13" t="inlineStr">
        <is>
          <t>AK112-207（NCT05432492，n=40）</t>
        </is>
      </c>
      <c r="H2" s="33" t="inlineStr">
        <is>
          <t>II</t>
        </is>
      </c>
      <c r="I2" s="13" t="inlineStr">
        <is>
          <t>2022/8 启动、2025/6/14 完成，主要终点为 ORR（RECIST v1.1 / mRECIST），**疗效数据至今未公开** ❌；无 HCC III 期；方向已改为 AK112-209（NCT06530251，Ib/II，n=280，随机对照信迪利单抗+贝伐类似物）重启，另有 TACE/HAIC 联合 IIT</t>
        </is>
      </c>
      <c r="J2" s="15" t="inlineStr">
        <is>
          <t>pembrolizumab 200mg Q3W 单药</t>
        </is>
      </c>
      <c r="K2" s="15" t="inlineStr">
        <is>
          <t>KEYNOTE-224（n=104）→ KEYNOTE-394（n=453，亚洲）</t>
        </is>
      </c>
      <c r="L2" s="34" t="inlineStr">
        <is>
          <t>II → III</t>
        </is>
      </c>
      <c r="M2" s="15" t="inlineStr">
        <is>
          <t>KEYNOTE-224：ORR 17%、DOR 持久 → 2018/11 加速批准 ✅；KEYNOTE-394：二线 OS HR 0.79，p=0.0180（界值 0.0193）→ 转为完全批准 ✅</t>
        </is>
      </c>
      <c r="N2" s="17" t="inlineStr">
        <is>
          <t>K药 II 期成功获批并 III 期确证 / AK112 II 期隐性失败</t>
        </is>
      </c>
      <c r="O2" s="11" t="inlineStr">
        <is>
          <t>「数据未公开」不等于阴性，但「完成后 15 个月不披露 + 无 III 期 + 换随机对照方案重启」是隐性失败的标准特征。同时须承认 K药 这条也不硬：ORR 17% 本身不高，靠 DOR 与无替代疗法获批，且全球确证试验 KEYNOTE-240 曾失败，靠亚洲 KEYNOTE-394 补救</t>
        </is>
      </c>
    </row>
    <row r="3">
      <c r="A3" s="43" t="n">
        <v>2</v>
      </c>
      <c r="B3" s="31" t="inlineStr">
        <is>
          <t>R1·完全对等（K药胜/AK112败）</t>
        </is>
      </c>
      <c r="C3" s="11" t="inlineStr">
        <is>
          <t>★★★★★ 同瘤种/同线数/同期别/同方案（单药）</t>
        </is>
      </c>
      <c r="D3" s="44" t="inlineStr">
        <is>
          <t>宫颈癌</t>
        </is>
      </c>
      <c r="E3" s="11" t="inlineStr">
        <is>
          <t>既往化疗失败 晚期，单药</t>
        </is>
      </c>
      <c r="F3" s="13" t="inlineStr">
        <is>
          <t>依沃西单药</t>
        </is>
      </c>
      <c r="G3" s="13" t="inlineStr">
        <is>
          <t>AK112-203（NCT04870177，n=53，含卵巢/宫颈/内膜癌）</t>
        </is>
      </c>
      <c r="H3" s="33" t="inlineStr">
        <is>
          <t>II</t>
        </is>
      </c>
      <c r="I3" s="13" t="inlineStr">
        <is>
          <t>2021/4 启动、2024/5/10 完成，主要终点 FAS 人群 ORR，**至今未公开任何疗效数据** ❌；未启动任何妇科 III 期；方向转为 AK104+AK112 复发卵巢（NCT06560112）与 AK112-211 铂敏感卵巢（NCT06686030）重新探索</t>
        </is>
      </c>
      <c r="J3" s="15" t="inlineStr">
        <is>
          <t>pembrolizumab 200mg Q3W 单药</t>
        </is>
      </c>
      <c r="K3" s="15" t="inlineStr">
        <is>
          <t>KEYNOTE-158 队列 E（n=98）</t>
        </is>
      </c>
      <c r="L3" s="34" t="inlineStr">
        <is>
          <t>II</t>
        </is>
      </c>
      <c r="M3" s="15" t="inlineStr">
        <is>
          <t>ORR 12.2%（全体，3 CR + 9 PR）/ 14.6%（CPS≥1，n=82）/ 14.3%（CPS≥1 且 ≥1 线化疗，n=77，即 FDA 标签人群）；DOR 未达，91% 应答持续 ≥6 月；CPS&lt;1 者 ORR 0% → 2018/6 加速批准 ✅。后续 III 期 KEYNOTE-826（OS HR 0.60）与 KEYNOTE-A18（OS HR 0.67）双双成功 ✅</t>
        </is>
      </c>
      <c r="N3" s="17" t="inlineStr">
        <is>
          <t>K药 II 期成功获批并 III 期确证 / AK112 II 期隐性失败</t>
        </is>
      </c>
      <c r="O3" s="11" t="inlineStr">
        <is>
          <t>K药 该二线单药加速批准已于 2024 撤回，但撤回原因是被自家一线方案（KEYNOTE-826）取代，非疗效失败，宫颈癌整体仍是 K药 的强适应症。AK112 未披露 ORR，理论上无法排除「有效但战略放弃」，但已改走联合路线，等于承认单药路线不成立</t>
        </is>
      </c>
    </row>
    <row r="4">
      <c r="A4" s="43" t="n">
        <v>3</v>
      </c>
      <c r="B4" s="31" t="inlineStr">
        <is>
          <t>R1·完全对等（K药胜/AK112败）</t>
        </is>
      </c>
      <c r="C4" s="11" t="inlineStr">
        <is>
          <t>★★★★☆ 同瘤种/同方案（单药），期别 II vs Ia/Ib+II</t>
        </is>
      </c>
      <c r="D4" s="44" t="inlineStr">
        <is>
          <t>子宫内膜癌</t>
        </is>
      </c>
      <c r="E4" s="11" t="inlineStr">
        <is>
          <t>既往治疗失败 晚期，单药</t>
        </is>
      </c>
      <c r="F4" s="13" t="inlineStr">
        <is>
          <t>依沃西单药</t>
        </is>
      </c>
      <c r="G4" s="13" t="inlineStr">
        <is>
          <t>AK112-101 / AK112-102（NCT04047290 / NCT04597541）扩展队列；AK112-203（II）</t>
        </is>
      </c>
      <c r="H4" s="33" t="inlineStr">
        <is>
          <t>Ia / Ib（+II）</t>
        </is>
      </c>
      <c r="I4" s="13" t="inlineStr">
        <is>
          <t>内膜癌（pMMR/dMMR）单药仅个别 PR，**未形成队列级可注册疗效** ❌；AK112-203（II 期，含内膜癌）数据不公开；无任何内膜癌 III 期</t>
        </is>
      </c>
      <c r="J4" s="15" t="inlineStr">
        <is>
          <t>pembrolizumab 200mg Q3W 单药（dMMR 富集）</t>
        </is>
      </c>
      <c r="K4" s="15" t="inlineStr">
        <is>
          <t>KEYNOTE-158 队列 D；KEYNOTE-028 内膜癌队列（n=24）</t>
        </is>
      </c>
      <c r="L4" s="34" t="inlineStr">
        <is>
          <t>II / Ib</t>
        </is>
      </c>
      <c r="M4" s="15" t="inlineStr">
        <is>
          <t>KEYNOTE-158 队列 D（dMMR）ORR 48–50% ✅ 获批；KEYNOTE-028（Ib，未富集）ORR 13.0%（3/24，1 例携 POLE 突变）。后续 NRG-GY018（III）dMMR PFS HR 0.30 ✅、KEYNOTE-775（III，pMMR +lenvatinib）OS HR 0.68 ✅</t>
        </is>
      </c>
      <c r="N4" s="17" t="inlineStr">
        <is>
          <t>K药 靠 dMMR 分子富集大获成功 / AK112 未形成可注册疗效</t>
        </is>
      </c>
      <c r="O4" s="11" t="inlineStr">
        <is>
          <t>【关键限定】核心差异是「分子选择策略」而非药物本身：K药 在未富集人群（KEYNOTE-028 Ib）ORR 也只有 13%，与 AK112 的个别 PR 量级接近。AK112 从未做过 dMMR 富集队列，人群不可比。这更像是康方研发设计上的缺失，不能直接推断药物更弱</t>
        </is>
      </c>
    </row>
    <row r="5">
      <c r="A5" s="43" t="n">
        <v>4</v>
      </c>
      <c r="B5" s="31" t="inlineStr">
        <is>
          <t>R1·完全对等（K药胜/AK112败）</t>
        </is>
      </c>
      <c r="C5" s="11" t="inlineStr">
        <is>
          <t>★★★☆☆ 同瘤种/同线数/同方案（单药），但 AK112 n=10 且剂量偏低</t>
        </is>
      </c>
      <c r="D5" s="44" t="inlineStr">
        <is>
          <t>头颈鳞癌（HNSCC）</t>
        </is>
      </c>
      <c r="E5" s="11" t="inlineStr">
        <is>
          <t>一线 PD-L1 阳性 复发/转移，单药</t>
        </is>
      </c>
      <c r="F5" s="13" t="inlineStr">
        <is>
          <t>依沃西 10mg/kg 单药</t>
        </is>
      </c>
      <c r="G5" s="13" t="inlineStr">
        <is>
          <t>AK117-201 依沃西单药臂（NCT05229497，n=10）</t>
        </is>
      </c>
      <c r="H5" s="33" t="inlineStr">
        <is>
          <t>Ib/II</t>
        </is>
      </c>
      <c r="I5" s="13" t="inlineStr">
        <is>
          <t>ORR 30%（数据截后更新 40%），DCR 80%，mPFS 5.0 m。分层异常：CPS 1–20 亚组 ORR 75%，**CPS≥20 亚组 ORR 0%**。康方自评「单药路线不成立」，III 期（SOLO-10 / ILLUMINE）全部改走联合 ❌</t>
        </is>
      </c>
      <c r="J5" s="15" t="inlineStr">
        <is>
          <t>pembrolizumab 10mg/kg Q2W 或 200mg Q3W 单药</t>
        </is>
      </c>
      <c r="K5" s="15" t="inlineStr">
        <is>
          <t>KEYNOTE-012 HNSCC 队列（n=192 汇总）</t>
        </is>
      </c>
      <c r="L5" s="34" t="inlineStr">
        <is>
          <t>Ib</t>
        </is>
      </c>
      <c r="M5" s="15" t="inlineStr">
        <is>
          <t>ORR 18%（34/192；8 CR + 26 PR），DOR 未达，65% 应答者仍在应答（最长 30+ 月），85% 应答持续 ≥6 月 → 2016/8 加速批准 ✅ → KEYNOTE-048（III）CPS≥20 单药 OS HR 0.61 ✅ 完全批准，成为一线标准</t>
        </is>
      </c>
      <c r="N5" s="17" t="inlineStr">
        <is>
          <t>K药 单药路线从 Ib 走通至 III 期获批 / AK112 单药路线废弃</t>
        </is>
      </c>
      <c r="O5" s="11" t="inlineStr">
        <is>
          <t>三点必须同时看：①AK112 仅 n=10，统计上无法定论；②剂量仅 10mg/kg，低于推荐的 20mg/kg，康方自己在「疗效退坡与风险标注」中承认存在明确剂量-效应关系，可能低估药物潜力；③但 CPS≥20 亚组 ORR 0% 与 K药「CPS 越高获益越大」（HR 0.61）方向性相反，是本表唯一实质性的反向机制信号</t>
        </is>
      </c>
    </row>
  </sheetData>
  <autoFilter ref="A1:O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0" customWidth="1" min="4" max="4"/>
    <col width="30" customWidth="1" min="5" max="5"/>
    <col width="26" customWidth="1" min="6" max="6"/>
    <col width="34" customWidth="1" min="7" max="7"/>
    <col width="12" customWidth="1" min="8" max="8"/>
    <col width="60" customWidth="1" min="9" max="9"/>
    <col width="30" customWidth="1" min="10" max="10"/>
    <col width="32" customWidth="1" min="11" max="11"/>
    <col width="12" customWidth="1" min="12" max="12"/>
    <col width="60" customWidth="1" min="13" max="13"/>
    <col width="32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43" t="n">
        <v>1</v>
      </c>
      <c r="B2" s="35" t="inlineStr">
        <is>
          <t>R2·AK112 头对头未证优效（未定论）</t>
        </is>
      </c>
      <c r="C2" s="11" t="inlineStr">
        <is>
          <t>★★★★☆ 同瘤种/同线数/同期别，且 K药 即为对照组</t>
        </is>
      </c>
      <c r="D2" s="44" t="inlineStr">
        <is>
          <t>NSCLC（鳞）</t>
        </is>
      </c>
      <c r="E2" s="11" t="inlineStr">
        <is>
          <t>一线转移性，联合含铂化疗（头对头 K药+化疗）</t>
        </is>
      </c>
      <c r="F2" s="13" t="inlineStr">
        <is>
          <t>依沃西 + 含铂化疗</t>
        </is>
      </c>
      <c r="G2" s="13" t="inlineStr">
        <is>
          <t>HARMONi-3 / AK112-302（NCT05899608，n=1600，鳞/非鳞独立效能）</t>
        </is>
      </c>
      <c r="H2" s="33" t="inlineStr">
        <is>
          <t>III</t>
        </is>
      </c>
      <c r="I2" s="13" t="inlineStr">
        <is>
          <t>2026/4/30 披露：新增的**期中 PFS 分析未达统计学界值** ❌（α 消耗极少、门槛远高于最终分析）；IDMC 建议研究按计划继续，具体数值未披露。鳞/非鳞两队列均已完成入组。公布当日 SMMT 跌约 25%</t>
        </is>
      </c>
      <c r="J2" s="15" t="inlineStr">
        <is>
          <t>pembrolizumab + 卡铂 + 紫杉醇/白蛋白紫杉醇（本试验对照组）</t>
        </is>
      </c>
      <c r="K2" s="15" t="inlineStr">
        <is>
          <t>KEYNOTE-407（鳞，n=559）；KEYNOTE-189（非鳞，n=616）</t>
        </is>
      </c>
      <c r="L2" s="34" t="inlineStr">
        <is>
          <t>III</t>
        </is>
      </c>
      <c r="M2" s="15" t="inlineStr">
        <is>
          <t>KEYNOTE-407：OS 17.1 vs 11.6 m，HR 0.64 ✅；KEYNOTE-189：OS 22.0 vs 10.6 m，HR 0.56 ✅。两者均已获批并成为全球一线标准治疗</t>
        </is>
      </c>
      <c r="N2" s="17" t="inlineStr">
        <is>
          <t>K药 已是标准治疗 / AK112 头对头期中 PFS 未达界值（未定论）</t>
        </is>
      </c>
      <c r="O2" s="11" t="inlineStr">
        <is>
          <t>四点：①这是「AK112 未能证明优于 K药」，不是「AK112 绝对无效」；②期中门槛远高于最终分析，最终 PFS 在 2026 H2、独立 OS 期中在 2027 H1；③**内部矛盾值得高度关注**：HARMONi-6（鳞癌，vs 替雷利珠+化疗，全中国）OS HR 0.66 成功，而 HARMONi-3（鳞癌，vs K药+化疗，全球）期中 PFS 未达——可能说明 K药+化疗 强于替雷利珠+化疗，或存在人群/地区可转化性问题；④Leerink（2026/8/14）预计 HARMONi-3 的 OS 改善 &lt;20%</t>
        </is>
      </c>
    </row>
  </sheetData>
  <autoFilter ref="A1:O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0" customWidth="1" min="4" max="4"/>
    <col width="30" customWidth="1" min="5" max="5"/>
    <col width="26" customWidth="1" min="6" max="6"/>
    <col width="34" customWidth="1" min="7" max="7"/>
    <col width="12" customWidth="1" min="8" max="8"/>
    <col width="60" customWidth="1" min="9" max="9"/>
    <col width="30" customWidth="1" min="10" max="10"/>
    <col width="32" customWidth="1" min="11" max="11"/>
    <col width="12" customWidth="1" min="12" max="12"/>
    <col width="60" customWidth="1" min="13" max="13"/>
    <col width="32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43" t="n">
        <v>1</v>
      </c>
      <c r="B2" s="36" t="inlineStr">
        <is>
          <t>R3·两者均未成功（不构成K药胜）</t>
        </is>
      </c>
      <c r="C2" s="11" t="inlineStr">
        <is>
          <t>同瘤种/同线数/同期别/同方案 —— 但双方都失败</t>
        </is>
      </c>
      <c r="D2" s="44" t="inlineStr">
        <is>
          <t>NSCLC（非鳞，EGFR 突变）</t>
        </is>
      </c>
      <c r="E2" s="11" t="inlineStr">
        <is>
          <t>EGFR-TKI 进展后 二线，全球人群的 OS 终点</t>
        </is>
      </c>
      <c r="F2" s="13" t="inlineStr">
        <is>
          <t>依沃西 20mg/kg + 培美曲塞 + 卡铂</t>
        </is>
      </c>
      <c r="G2" s="13" t="inlineStr">
        <is>
          <t>HARMONi（NCT06395065）</t>
        </is>
      </c>
      <c r="H2" s="33" t="inlineStr">
        <is>
          <t>III</t>
        </is>
      </c>
      <c r="I2" s="13" t="inlineStr">
        <is>
          <t>OS HR 0.79（0.62–1.01），p=0.057，未达界值 ❌；2025/9 更新 HR 0.78，nominal p=0.0332 但 α 已用尽（非正式成功）；西方亚组 OS HR 0.98 → 0.84 → 0.76，始终无统计学显著</t>
        </is>
      </c>
      <c r="J2" s="15" t="inlineStr">
        <is>
          <t>pembrolizumab + 培美曲塞 + 铂</t>
        </is>
      </c>
      <c r="K2" s="15" t="inlineStr">
        <is>
          <t>KEYNOTE-789</t>
        </is>
      </c>
      <c r="L2" s="34" t="inlineStr">
        <is>
          <t>III</t>
        </is>
      </c>
      <c r="M2" s="15" t="inlineStr">
        <is>
          <t>OS HR 0.84（0.69–1.02），p=0.0362，未达界值 0.0118 ❌</t>
        </is>
      </c>
      <c r="N2" s="17" t="inlineStr">
        <is>
          <t>两者均失败，不构成 K药 胜出</t>
        </is>
      </c>
      <c r="O2" s="11" t="inlineStr">
        <is>
          <t>写在这里是为了对称：不要把 K药 在此的失败当作 AK112 的胜利，也不要反过来。该适应症上 AK112 的真实优势只在 PFS 与中国人群 OS（见第一类）</t>
        </is>
      </c>
    </row>
    <row r="3">
      <c r="A3" s="43" t="n">
        <v>2</v>
      </c>
      <c r="B3" s="36" t="inlineStr">
        <is>
          <t>R3·两者均未成功（不构成K药胜）</t>
        </is>
      </c>
      <c r="C3" s="11" t="inlineStr">
        <is>
          <t>同瘤种/同线数/同方案（单药）—— 双方均未获批</t>
        </is>
      </c>
      <c r="D3" s="44" t="inlineStr">
        <is>
          <t>卵巢癌 / 输卵管 / 原发腹膜癌</t>
        </is>
      </c>
      <c r="E3" s="11" t="inlineStr">
        <is>
          <t>铂耐药复发，单药</t>
        </is>
      </c>
      <c r="F3" s="13" t="inlineStr">
        <is>
          <t>依沃西 10 或 20mg/kg 单药</t>
        </is>
      </c>
      <c r="G3" s="13" t="inlineStr">
        <is>
          <t>AK112-101 Ia 扩展（n=19）；AK112-203（II，n=53）</t>
        </is>
      </c>
      <c r="H3" s="33" t="inlineStr">
        <is>
          <t>Ia / II</t>
        </is>
      </c>
      <c r="I3" s="13" t="inlineStr">
        <is>
          <t>Ia ORR 26.3%（20mg/kg 30.0%）但未推进注册路径；AK112-203 数据不公开 ❌</t>
        </is>
      </c>
      <c r="J3" s="15" t="inlineStr">
        <is>
          <t>pembrolizumab 200mg 单药</t>
        </is>
      </c>
      <c r="K3" s="15" t="inlineStr">
        <is>
          <t>KEYNOTE-100（n=376）；KEYNOTE-028 卵巢队列（n=26）</t>
        </is>
      </c>
      <c r="L3" s="34" t="inlineStr">
        <is>
          <t>II / Ib</t>
        </is>
      </c>
      <c r="M3" s="15" t="inlineStr">
        <is>
          <t>KEYNOTE-100 ORR 8.0%、DCR 37.2%、mPFS 2.1 m ❌；KEYNOTE-028 ORR 约 11.5% ❌。均未获批，方向放弃</t>
        </is>
      </c>
      <c r="N3" s="17" t="inlineStr">
        <is>
          <t>两者均未成功</t>
        </is>
      </c>
      <c r="O3" s="11" t="inlineStr">
        <is>
          <t>卵巢癌是 PD-1 类药物公认的失败区。AK112 数字更高但 n=19 vs n=376，且自己也放弃</t>
        </is>
      </c>
    </row>
    <row r="4">
      <c r="A4" s="43" t="n">
        <v>3</v>
      </c>
      <c r="B4" s="36" t="inlineStr">
        <is>
          <t>R3·两者均未成功（不构成K药胜）</t>
        </is>
      </c>
      <c r="C4" s="11" t="inlineStr">
        <is>
          <t>非疗效性失败，不可解读为阴性</t>
        </is>
      </c>
      <c r="D4" s="44" t="inlineStr">
        <is>
          <t>卵巢癌</t>
        </is>
      </c>
      <c r="E4" s="11" t="inlineStr">
        <is>
          <t>复发，联合 PARP 抑制剂</t>
        </is>
      </c>
      <c r="F4" s="13" t="inlineStr">
        <is>
          <t>依沃西 + PARP 抑制剂</t>
        </is>
      </c>
      <c r="G4" s="13" t="inlineStr">
        <is>
          <t>AK112-204（NCT04999605，实际入组 8 例）</t>
        </is>
      </c>
      <c r="H4" s="33" t="inlineStr">
        <is>
          <t>Ib/II</t>
        </is>
      </c>
      <c r="I4" s="13" t="inlineStr">
        <is>
          <t>状态 **TERMINATED**，官方理由「Too low inclusion rate（入组率过低）」，无任何疗效数据 ❌</t>
        </is>
      </c>
      <c r="J4" s="15" t="inlineStr">
        <is>
          <t>pembrolizumab + 尼拉帕利</t>
        </is>
      </c>
      <c r="K4" s="15" t="inlineStr">
        <is>
          <t>TOPACIO / KEYNOTE-162（n=62）</t>
        </is>
      </c>
      <c r="L4" s="34" t="inlineStr">
        <is>
          <t>II</t>
        </is>
      </c>
      <c r="M4" s="15" t="inlineStr">
        <is>
          <t>ORR 18%（BRCA 野生型亦有应答），但未获批、未推进 III 期 ❌</t>
        </is>
      </c>
      <c r="N4" s="17" t="inlineStr">
        <is>
          <t>两者均未走通；AK112 属非疗效性失败</t>
        </is>
      </c>
      <c r="O4" s="11" t="inlineStr">
        <is>
          <t>AK112-204 的终止理由是入组问题而非疗效阴性，不能计入疗效败绩。K药 侧同样没有走通，故不构成 K药 胜出</t>
        </is>
      </c>
    </row>
    <row r="5">
      <c r="A5" s="43" t="n">
        <v>4</v>
      </c>
      <c r="B5" s="36" t="inlineStr">
        <is>
          <t>R3·两者均未成功（不构成K药胜）</t>
        </is>
      </c>
      <c r="C5" s="11" t="inlineStr">
        <is>
          <t>同瘤种/同方案（单药）—— K药 更差</t>
        </is>
      </c>
      <c r="D5" s="44" t="inlineStr">
        <is>
          <t>结直肠癌（MSS/pMMR）</t>
        </is>
      </c>
      <c r="E5" s="11" t="inlineStr">
        <is>
          <t>晚期经治，单药</t>
        </is>
      </c>
      <c r="F5" s="13" t="inlineStr">
        <is>
          <t>依沃西单药</t>
        </is>
      </c>
      <c r="G5" s="13" t="inlineStr">
        <is>
          <t>AK112-101 / AK112-102 扩展队列</t>
        </is>
      </c>
      <c r="H5" s="33" t="inlineStr">
        <is>
          <t>Ia / Ib</t>
        </is>
      </c>
      <c r="I5" s="13" t="inlineStr">
        <is>
          <t>仅个别 PR，未形成队列级疗效，单药路线废弃（后改走「+化疗」路线才成立）❌</t>
        </is>
      </c>
      <c r="J5" s="15" t="inlineStr">
        <is>
          <t>pembrolizumab 200mg 单药</t>
        </is>
      </c>
      <c r="K5" s="15" t="inlineStr">
        <is>
          <t>KEYNOTE-016 MSS 队列；KEYNOTE-028 CRC 队列（n=23）</t>
        </is>
      </c>
      <c r="L5" s="34" t="inlineStr">
        <is>
          <t>II / Ib</t>
        </is>
      </c>
      <c r="M5" s="15" t="inlineStr">
        <is>
          <t>KEYNOTE-016 MSS 队列 ORR **0%** ❌；KEYNOTE-028 ORR 4%（1/23）❌。从未开展三期</t>
        </is>
      </c>
      <c r="N5" s="17" t="inlineStr">
        <is>
          <t>两者均失败，K药 数字更差</t>
        </is>
      </c>
      <c r="O5" s="11" t="inlineStr">
        <is>
          <t>该瘤种上双方结论一致：PD-1 单药在 MSS CRC 无效。AK112 的价值出现在联合化疗后（见正向第二类）</t>
        </is>
      </c>
    </row>
    <row r="6">
      <c r="A6" s="43" t="n">
        <v>5</v>
      </c>
      <c r="B6" s="36" t="inlineStr">
        <is>
          <t>R3·两者均未成功（不构成K药胜）</t>
        </is>
      </c>
      <c r="C6" s="11" t="inlineStr">
        <is>
          <t>同瘤种/同方案（单药）—— K药 数据更完整但同样未获批</t>
        </is>
      </c>
      <c r="D6" s="44" t="inlineStr">
        <is>
          <t>恶性胸膜间皮瘤</t>
        </is>
      </c>
      <c r="E6" s="11" t="inlineStr">
        <is>
          <t>既往治疗过，单药</t>
        </is>
      </c>
      <c r="F6" s="13" t="inlineStr">
        <is>
          <t>依沃西单药</t>
        </is>
      </c>
      <c r="G6" s="13" t="inlineStr">
        <is>
          <t>AK112-101 Ia 扩展；少量 IIT（NCT06840834、NCT06875076 无读出）</t>
        </is>
      </c>
      <c r="H6" s="33" t="inlineStr">
        <is>
          <t>Ia</t>
        </is>
      </c>
      <c r="I6" s="13" t="inlineStr">
        <is>
          <t>仅个别 PR，未形成队列级疗效 ❌</t>
        </is>
      </c>
      <c r="J6" s="15" t="inlineStr">
        <is>
          <t>pembrolizumab 200mg 单药</t>
        </is>
      </c>
      <c r="K6" s="15" t="inlineStr">
        <is>
          <t>KEYNOTE-158 间皮瘤队列（n=118）；III 期 PROMISE-meso</t>
        </is>
      </c>
      <c r="L6" s="34" t="inlineStr">
        <is>
          <t>II / III</t>
        </is>
      </c>
      <c r="M6" s="15" t="inlineStr">
        <is>
          <t>KEYNOTE-158 ORR 8.0%（10/118）、DOR 14.3 m、mOS 10.0 m；III 期 PROMISE-meso PFS/OS 均未达 ❌。未获批</t>
        </is>
      </c>
      <c r="N6" s="17" t="inlineStr">
        <is>
          <t>两者均未成功</t>
        </is>
      </c>
      <c r="O6" s="11" t="inlineStr">
        <is>
          <t>K药 形成了 118 例队列级数据且 DOR 长达 14.3 月（AK112 只有个别 PR），但 III 期失败、未获批，因此不能算 K药「成功」</t>
        </is>
      </c>
    </row>
    <row r="7">
      <c r="A7" s="43" t="n">
        <v>6</v>
      </c>
      <c r="B7" s="36" t="inlineStr">
        <is>
          <t>R3·两者均未成功（不构成K药胜）</t>
        </is>
      </c>
      <c r="C7" s="11" t="inlineStr">
        <is>
          <t>同瘤种/同方案（单药）—— K药 数据更完整但同样未获批</t>
        </is>
      </c>
      <c r="D7" s="44" t="inlineStr">
        <is>
          <t>肛管鳞癌</t>
        </is>
      </c>
      <c r="E7" s="11" t="inlineStr">
        <is>
          <t>既往治疗过，单药</t>
        </is>
      </c>
      <c r="F7" s="13" t="inlineStr">
        <is>
          <t>依沃西单药</t>
        </is>
      </c>
      <c r="G7" s="13" t="inlineStr">
        <is>
          <t>AK112-101 Ia 扩展</t>
        </is>
      </c>
      <c r="H7" s="33" t="inlineStr">
        <is>
          <t>Ia</t>
        </is>
      </c>
      <c r="I7" s="13" t="inlineStr">
        <is>
          <t>仅个别 PR ❌</t>
        </is>
      </c>
      <c r="J7" s="15" t="inlineStr">
        <is>
          <t>pembrolizumab 200mg 单药</t>
        </is>
      </c>
      <c r="K7" s="15" t="inlineStr">
        <is>
          <t>KEYNOTE-158 队列 A（n=112）</t>
        </is>
      </c>
      <c r="L7" s="34" t="inlineStr">
        <is>
          <t>II</t>
        </is>
      </c>
      <c r="M7" s="15" t="inlineStr">
        <is>
          <t>ORR 11%（12/112）；PD-L1+ 15% vs PD-L1− 3%；mOS 11.9 m；DOR 未达 ❌。未获批</t>
        </is>
      </c>
      <c r="N7" s="17" t="inlineStr">
        <is>
          <t>两者均未成功</t>
        </is>
      </c>
      <c r="O7" s="11" t="inlineStr">
        <is>
          <t>同上：K药 数据体量与质量占优，但未获批，不构成成功</t>
        </is>
      </c>
    </row>
  </sheetData>
  <autoFilter ref="A1:O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82" customWidth="1" min="2" max="2"/>
    <col width="62" customWidth="1" min="3" max="3"/>
  </cols>
  <sheetData>
    <row r="1" ht="26" customHeight="1">
      <c r="A1" s="37" t="inlineStr">
        <is>
          <t>K药 已成功而 AK112 完全没有数据的适应症领域（注意：这不是「AK112 失败」，而是适应症广度差距）</t>
        </is>
      </c>
    </row>
    <row r="2" ht="24" customHeight="1">
      <c r="A2" s="8" t="inlineStr">
        <is>
          <t>瘤种 / 适应症领域</t>
        </is>
      </c>
      <c r="B2" s="8" t="inlineStr">
        <is>
          <t>K药 关键试验与结果</t>
        </is>
      </c>
      <c r="C2" s="8" t="inlineStr">
        <is>
          <t>AK112 状态</t>
        </is>
      </c>
    </row>
    <row r="3">
      <c r="A3" s="38" t="inlineStr">
        <is>
          <t>黑色素瘤（晚期 1L、III 期辅助、IIB/IIC 辅助）</t>
        </is>
      </c>
      <c r="B3" s="39" t="inlineStr">
        <is>
          <t>KEYNOTE-001 ORR 33–45%；KEYNOTE-006 5 年 OS 38.7% vs 31.0%（HR 0.73）；KEYNOTE-054 RFS HR 0.57；KEYNOTE-716 RFS HR 0.61 → 4 项批准</t>
        </is>
      </c>
      <c r="C3" s="40" t="inlineStr">
        <is>
          <t>无任何黑色素瘤临床研究</t>
        </is>
      </c>
    </row>
    <row r="4">
      <c r="A4" s="38" t="inlineStr">
        <is>
          <t>经典霍奇金淋巴瘤 + 原发纵隔大B细胞淋巴瘤</t>
        </is>
      </c>
      <c r="B4" s="39" t="inlineStr">
        <is>
          <t>KEYNOTE-013 ORR 65%；KEYNOTE-087 ORR 69–73%；KEYNOTE-204 PFS HR 0.65；KEYNOTE-170（PMBCL）ORR 45% → 均获批</t>
        </is>
      </c>
      <c r="C4" s="40" t="inlineStr">
        <is>
          <t>无任何血液肿瘤研究（PD-1/VEGF 双抗机制上对 9p24.1 扩增型血液瘤无 VEGF 端优势）</t>
        </is>
      </c>
    </row>
    <row r="5">
      <c r="A5" s="38" t="inlineStr">
        <is>
          <t>泛癌 MSI-H/dMMR（不依器官）</t>
        </is>
      </c>
      <c r="B5" s="39" t="inlineStr">
        <is>
          <t>KEYNOTE-016 ORR 40–71%；KEYNOTE-158 队列 K ORR 34.3%；KEYNOTE-177（1L CRC）PFS HR 0.60 → 史上首个不依器官批准</t>
        </is>
      </c>
      <c r="C5" s="40" t="inlineStr">
        <is>
          <t>从未做过 MSI-H/dMMR 富集队列，该维度完全空白</t>
        </is>
      </c>
    </row>
    <row r="6">
      <c r="A6" s="38" t="inlineStr">
        <is>
          <t>泛癌 TMB-H（≥10 mut/Mb）</t>
        </is>
      </c>
      <c r="B6" s="39" t="inlineStr">
        <is>
          <t>KEYNOTE-158 队列 M ORR 29% → 加速批准</t>
        </is>
      </c>
      <c r="C6" s="40" t="inlineStr">
        <is>
          <t>无 TMB 分层开发</t>
        </is>
      </c>
    </row>
    <row r="7">
      <c r="A7" s="38" t="inlineStr">
        <is>
          <t>Merkel 细胞癌</t>
        </is>
      </c>
      <c r="B7" s="39" t="inlineStr">
        <is>
          <t>KEYNOTE-017 ORR 56%、3 年 OS 59% → 加速批准</t>
        </is>
      </c>
      <c r="C7" s="40" t="inlineStr">
        <is>
          <t>无</t>
        </is>
      </c>
    </row>
    <row r="8">
      <c r="A8" s="38" t="inlineStr">
        <is>
          <t>皮肤鳞癌（cSCC）</t>
        </is>
      </c>
      <c r="B8" s="39" t="inlineStr">
        <is>
          <t>KEYNOTE-629 局晚 ORR 50% / R/M ORR 35% → 获批（注：辅助 KEYNOTE-630 失败）</t>
        </is>
      </c>
      <c r="C8" s="40" t="inlineStr">
        <is>
          <t>仅 1 项 IIT（NCT06567314），无读出</t>
        </is>
      </c>
    </row>
    <row r="9">
      <c r="A9" s="38" t="inlineStr">
        <is>
          <t>尿路上皮癌 / 膀胱癌（4 个适应症）</t>
        </is>
      </c>
      <c r="B9" s="39" t="inlineStr">
        <is>
          <t>KEYNOTE-045 二线 OS HR 0.73；EV-302 一线 OS HR 0.47；KEYNOTE-057 NMIBC CR 41%；KEYNOTE-905 围手术期 EFS HR 0.40 → 均获批</t>
        </is>
      </c>
      <c r="C9" s="40" t="inlineStr">
        <is>
          <t>仅 1 项 IIT（NCT06957561，顺铂不耐受 MIBC + 维迪西他单抗），无读出</t>
        </is>
      </c>
    </row>
    <row r="10">
      <c r="A10" s="38" t="inlineStr">
        <is>
          <t>肾细胞癌（晚期 1L + 术后辅助）</t>
        </is>
      </c>
      <c r="B10" s="39" t="inlineStr">
        <is>
          <t>KEYNOTE-426 +阿昔替尼 OS HR 0.68；KEYNOTE-564 辅助 DFS HR 0.68 / OS HR 0.62（首个辅助免疫 OS 阳性）→ 均获批</t>
        </is>
      </c>
      <c r="C10" s="40" t="inlineStr">
        <is>
          <t>仅 2 项 IIT（IVORY / 局限期术前），无读出</t>
        </is>
      </c>
    </row>
    <row r="11">
      <c r="A11" s="38" t="inlineStr">
        <is>
          <t>早期 TNBC 围手术期</t>
        </is>
      </c>
      <c r="B11" s="39" t="inlineStr">
        <is>
          <t>KEYNOTE-522 pCR 64.8% vs 51.2%、EFS HR 0.63、OS HR 0.66 → 获批（唯一 OS 阳性的早期 TNBC 免疫方案）</t>
        </is>
      </c>
      <c r="C11" s="40" t="inlineStr">
        <is>
          <t>仅 IIT 新辅助研究，无读出；AK112 的 TNBC 数据集中在一线转移性</t>
        </is>
      </c>
    </row>
    <row r="12">
      <c r="A12" s="38" t="inlineStr">
        <is>
          <t>食管癌 / GEJ 一线</t>
        </is>
      </c>
      <c r="B12" s="39" t="inlineStr">
        <is>
          <t>KEYNOTE-590 全体 OS HR 0.73、ESCC CPS≥10 HR 0.57 → 获批</t>
        </is>
      </c>
      <c r="C12" s="40" t="inlineStr">
        <is>
          <t>仅 5 项 IIT（NCT06489197 等），均无读出；LEAP-014 类比方案在 K药 侧亦失败</t>
        </is>
      </c>
    </row>
    <row r="13">
      <c r="A13" s="38" t="inlineStr">
        <is>
          <t>宫颈癌 一线 + 局部晚期同步放化疗</t>
        </is>
      </c>
      <c r="B13" s="39" t="inlineStr">
        <is>
          <t>KEYNOTE-826 CPS≥1 OS HR 0.60；KEYNOTE-A18 PFS HR 0.70 / OS HR 0.67 → 均获批</t>
        </is>
      </c>
      <c r="C13" s="40" t="inlineStr">
        <is>
          <t>仅 IIT（NCT06925724 等），无读出</t>
        </is>
      </c>
    </row>
    <row r="14">
      <c r="A14" s="38" t="inlineStr">
        <is>
          <t>NSCLC 术后辅助</t>
        </is>
      </c>
      <c r="B14" s="39" t="inlineStr">
        <is>
          <t>KEYNOTE-091 全体 DFS HR 0.76 → 获批</t>
        </is>
      </c>
      <c r="C14" s="40" t="inlineStr">
        <is>
          <t>无辅助（术后单纯辅助）研究；AK112 的围手术期研究为新辅助+辅助一体化的 II 期单臂</t>
        </is>
      </c>
    </row>
    <row r="15">
      <c r="A15" s="38" t="inlineStr">
        <is>
          <t>胃癌 HER2 阳性 一线</t>
        </is>
      </c>
      <c r="B15" s="39" t="inlineStr">
        <is>
          <t>KEYNOTE-811 ORR 74% vs 52%、PFS HR 0.72（CPS≥1）→ 获批</t>
        </is>
      </c>
      <c r="C15" s="40" t="inlineStr">
        <is>
          <t>无 HER2 分层开发</t>
        </is>
      </c>
    </row>
    <row r="16">
      <c r="A16" s="38" t="inlineStr">
        <is>
          <t>非小细胞肺癌 PD-L1≥50% 一线单药（原始适应症）</t>
        </is>
      </c>
      <c r="B16" s="39" t="inlineStr">
        <is>
          <t>KEYNOTE-024 OS HR 0.62、5 年 OS 31.9% → 全球一线标准</t>
        </is>
      </c>
      <c r="C16" s="40" t="inlineStr">
        <is>
          <t>AK112 在此为头对头挑战方（HARMONi-2），非空白 —— 列此仅为提示 K药 适应症基座的来源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8" customWidth="1" min="3" max="3"/>
    <col width="46" customWidth="1" min="4" max="4"/>
    <col width="32" customWidth="1" min="5" max="5"/>
  </cols>
  <sheetData>
    <row r="1" ht="30" customHeight="1">
      <c r="A1" s="21" t="inlineStr">
        <is>
          <t>瘤种 / 适应症</t>
        </is>
      </c>
      <c r="B1" s="21" t="inlineStr">
        <is>
          <t>期别对齐</t>
        </is>
      </c>
      <c r="C1" s="21" t="inlineStr">
        <is>
          <t>AK112</t>
        </is>
      </c>
      <c r="D1" s="21" t="inlineStr">
        <is>
          <t>K药</t>
        </is>
      </c>
      <c r="E1" s="21" t="inlineStr">
        <is>
          <t>结论</t>
        </is>
      </c>
    </row>
    <row r="2" ht="32" customHeight="1">
      <c r="A2" s="22" t="inlineStr">
        <is>
          <t>HCC 单药</t>
        </is>
      </c>
      <c r="B2" s="23" t="inlineStr">
        <is>
          <t>II vs II ✔</t>
        </is>
      </c>
      <c r="C2" s="24" t="inlineStr">
        <is>
          <t>AK112-207 完成后不披露、无 III 期 ❌</t>
        </is>
      </c>
      <c r="D2" s="25" t="inlineStr">
        <is>
          <t>KEYNOTE-224 ORR 17% → 获批 ✅</t>
        </is>
      </c>
      <c r="E2" s="41" t="inlineStr">
        <is>
          <t>★ K药 胜（隐性失败）</t>
        </is>
      </c>
    </row>
    <row r="3" ht="32" customHeight="1">
      <c r="A3" s="22" t="inlineStr">
        <is>
          <t>晚期宫颈癌 单药</t>
        </is>
      </c>
      <c r="B3" s="23" t="inlineStr">
        <is>
          <t>II vs II ✔</t>
        </is>
      </c>
      <c r="C3" s="24" t="inlineStr">
        <is>
          <t>AK112-203 完成后不披露、无 III 期 ❌</t>
        </is>
      </c>
      <c r="D3" s="25" t="inlineStr">
        <is>
          <t>KEYNOTE-158-E ORR 12.2–14.6% → 获批 ✅</t>
        </is>
      </c>
      <c r="E3" s="41" t="inlineStr">
        <is>
          <t>★ K药 胜（隐性失败）</t>
        </is>
      </c>
    </row>
    <row r="4" ht="32" customHeight="1">
      <c r="A4" s="22" t="inlineStr">
        <is>
          <t>子宫内膜癌 单药</t>
        </is>
      </c>
      <c r="B4" s="23" t="inlineStr">
        <is>
          <t>Ia/Ib+II vs II ~</t>
        </is>
      </c>
      <c r="C4" s="24" t="inlineStr">
        <is>
          <t>仅个别 PR，未成队列 ❌</t>
        </is>
      </c>
      <c r="D4" s="25" t="inlineStr">
        <is>
          <t>dMMR 富集 ORR 48–50% → 获批 ✅</t>
        </is>
      </c>
      <c r="E4" s="41" t="inlineStr">
        <is>
          <t>★ K药 胜（含富集策略差异）</t>
        </is>
      </c>
    </row>
    <row r="5" ht="32" customHeight="1">
      <c r="A5" s="22" t="inlineStr">
        <is>
          <t>一线 R/M HNSCC 单药</t>
        </is>
      </c>
      <c r="B5" s="23" t="inlineStr">
        <is>
          <t>Ib/II vs Ib ✔</t>
        </is>
      </c>
      <c r="C5" s="24" t="inlineStr">
        <is>
          <t>n=10，CPS≥20 ORR 0%，路线废弃 ❌</t>
        </is>
      </c>
      <c r="D5" s="25" t="inlineStr">
        <is>
          <t>ORR 18% → 获批 → CPS≥20 OS HR 0.61 ✅</t>
        </is>
      </c>
      <c r="E5" s="41" t="inlineStr">
        <is>
          <t>★ K药 胜（唯一反向机制信号）</t>
        </is>
      </c>
    </row>
    <row r="6" ht="32" customHeight="1">
      <c r="A6" s="22" t="inlineStr">
        <is>
          <t>一线鳞状 NSCLC +化疗（头对头）</t>
        </is>
      </c>
      <c r="B6" s="23" t="inlineStr">
        <is>
          <t>III vs III ✔</t>
        </is>
      </c>
      <c r="C6" s="24" t="inlineStr">
        <is>
          <t>HARMONi-3 期中 PFS 未达界值 ❌</t>
        </is>
      </c>
      <c r="D6" s="25" t="inlineStr">
        <is>
          <t>KEYNOTE-407 OS HR 0.64 ✅ 标准治疗</t>
        </is>
      </c>
      <c r="E6" s="27" t="inlineStr">
        <is>
          <t>未定论，最终 PFS 2026 H2</t>
        </is>
      </c>
    </row>
    <row r="7" ht="32" customHeight="1">
      <c r="A7" s="22" t="inlineStr">
        <is>
          <t>EGFR-TKI 后 nsq-NSCLC 全球 OS</t>
        </is>
      </c>
      <c r="B7" s="23" t="inlineStr">
        <is>
          <t>III vs III ✔</t>
        </is>
      </c>
      <c r="C7" s="24" t="inlineStr">
        <is>
          <t>HR 0.79，p=0.057 ❌</t>
        </is>
      </c>
      <c r="D7" s="25" t="inlineStr">
        <is>
          <t>HR 0.84，p=0.0362 ❌</t>
        </is>
      </c>
      <c r="E7" s="27" t="inlineStr">
        <is>
          <t>双方均败，不成结论</t>
        </is>
      </c>
    </row>
    <row r="8" ht="32" customHeight="1">
      <c r="A8" s="22" t="inlineStr">
        <is>
          <t>铂耐药卵巢癌 单药</t>
        </is>
      </c>
      <c r="B8" s="23" t="inlineStr">
        <is>
          <t>Ia/II vs II ~</t>
        </is>
      </c>
      <c r="C8" s="24" t="inlineStr">
        <is>
          <t>ORR 26.3%（n=19），放弃 ❌</t>
        </is>
      </c>
      <c r="D8" s="25" t="inlineStr">
        <is>
          <t>ORR 8.0%（n=376），放弃 ❌</t>
        </is>
      </c>
      <c r="E8" s="27" t="inlineStr">
        <is>
          <t>双方均败</t>
        </is>
      </c>
    </row>
    <row r="9" ht="32" customHeight="1">
      <c r="A9" s="22" t="inlineStr">
        <is>
          <t>复发卵巢癌 +PARP</t>
        </is>
      </c>
      <c r="B9" s="23" t="inlineStr">
        <is>
          <t>Ib/II vs II ~</t>
        </is>
      </c>
      <c r="C9" s="24" t="inlineStr">
        <is>
          <t>TERMINATED（入组率过低）</t>
        </is>
      </c>
      <c r="D9" s="25" t="inlineStr">
        <is>
          <t>TOPACIO ORR 18%，未获批 ❌</t>
        </is>
      </c>
      <c r="E9" s="27" t="inlineStr">
        <is>
          <t>双方均败，AK112 非疗效失败</t>
        </is>
      </c>
    </row>
    <row r="10" ht="32" customHeight="1">
      <c r="A10" s="22" t="inlineStr">
        <is>
          <t>MSS/pMMR CRC 单药</t>
        </is>
      </c>
      <c r="B10" s="23" t="inlineStr">
        <is>
          <t>Ia/Ib vs II/Ib ✔</t>
        </is>
      </c>
      <c r="C10" s="24" t="inlineStr">
        <is>
          <t>仅个别 PR ❌</t>
        </is>
      </c>
      <c r="D10" s="25" t="inlineStr">
        <is>
          <t>ORR 0–4% ❌（更差）</t>
        </is>
      </c>
      <c r="E10" s="27" t="inlineStr">
        <is>
          <t>双方均败</t>
        </is>
      </c>
    </row>
    <row r="11" ht="32" customHeight="1">
      <c r="A11" s="22" t="inlineStr">
        <is>
          <t>恶性胸膜间皮瘤 单药</t>
        </is>
      </c>
      <c r="B11" s="23" t="inlineStr">
        <is>
          <t>Ia vs II/III ~</t>
        </is>
      </c>
      <c r="C11" s="24" t="inlineStr">
        <is>
          <t>仅个别 PR ❌</t>
        </is>
      </c>
      <c r="D11" s="25" t="inlineStr">
        <is>
          <t>ORR 8%、DOR 14.3m；III 期失败 ❌</t>
        </is>
      </c>
      <c r="E11" s="27" t="inlineStr">
        <is>
          <t>双方均未获批</t>
        </is>
      </c>
    </row>
    <row r="12" ht="32" customHeight="1">
      <c r="A12" s="22" t="inlineStr">
        <is>
          <t>肛管鳞癌 单药</t>
        </is>
      </c>
      <c r="B12" s="23" t="inlineStr">
        <is>
          <t>Ia vs II ~</t>
        </is>
      </c>
      <c r="C12" s="24" t="inlineStr">
        <is>
          <t>仅个别 PR ❌</t>
        </is>
      </c>
      <c r="D12" s="25" t="inlineStr">
        <is>
          <t>ORR 11%（n=112），未获批 ❌</t>
        </is>
      </c>
      <c r="E12" s="27" t="inlineStr">
        <is>
          <t>双方均未获批</t>
        </is>
      </c>
    </row>
    <row r="13" ht="32" customHeight="1">
      <c r="A13" s="22" t="inlineStr">
        <is>
          <t>K药 独占的 14 个适应症领域</t>
        </is>
      </c>
      <c r="B13" s="23" t="inlineStr">
        <is>
          <t>AK112 无数据 ✘</t>
        </is>
      </c>
      <c r="C13" s="24" t="inlineStr">
        <is>
          <t>无研究或仅 IIT 无读出</t>
        </is>
      </c>
      <c r="D13" s="25" t="inlineStr">
        <is>
          <t>黑色素瘤/cHL/MSI-H泛癌/TMB-H/Merkel/cSCC/UC/RCC/早期TNBC/食管/宫颈1L/NSCLC辅助/HER2+胃癌 等</t>
        </is>
      </c>
      <c r="E13" s="27" t="inlineStr">
        <is>
          <t>非「AK112 失败」，是广度差距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34" customWidth="1" min="4" max="4"/>
    <col width="13" customWidth="1" min="5" max="5"/>
    <col width="13" customWidth="1" min="6" max="6"/>
    <col width="66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4" customWidth="1" min="13" max="13"/>
    <col width="14" customWidth="1" min="14" max="14"/>
    <col width="9" customWidth="1" min="15" max="15"/>
    <col width="68" customWidth="1" min="16" max="16"/>
  </cols>
  <sheetData>
    <row r="1" ht="46" customHeight="1">
      <c r="A1" s="42" t="inlineStr">
        <is>
          <t>序号</t>
        </is>
      </c>
      <c r="B1" s="42" t="inlineStr">
        <is>
          <t>配对方向</t>
        </is>
      </c>
      <c r="C1" s="42" t="inlineStr">
        <is>
          <t>瘤种</t>
        </is>
      </c>
      <c r="D1" s="42" t="inlineStr">
        <is>
          <t>适应症 / 线数 / 设置</t>
        </is>
      </c>
      <c r="E1" s="42" t="inlineStr">
        <is>
          <t>美国瘤种新发
(ACS 2026)</t>
        </is>
      </c>
      <c r="F1" s="42" t="inlineStr">
        <is>
          <t>美国现存患者
(SEER 近似)</t>
        </is>
      </c>
      <c r="G1" s="42" t="inlineStr">
        <is>
          <t>目标人群推算链（每步乘数已写明）</t>
        </is>
      </c>
      <c r="H1" s="42" t="inlineStr">
        <is>
          <t>天花板
可及患者</t>
        </is>
      </c>
      <c r="I1" s="42" t="inlineStr">
        <is>
          <t>现实情景
可及患者</t>
        </is>
      </c>
      <c r="J1" s="42" t="inlineStr">
        <is>
          <t>平均治疗
时长(年)</t>
        </is>
      </c>
      <c r="K1" s="42" t="inlineStr">
        <is>
          <t>K药标价年化
(WAC, US$)</t>
        </is>
      </c>
      <c r="L1" s="42" t="inlineStr">
        <is>
          <t>K药实付年化
(净ASP, US$)</t>
        </is>
      </c>
      <c r="M1" s="42" t="inlineStr">
        <is>
          <t>天花板空间
(百万US$/年, 标价)</t>
        </is>
      </c>
      <c r="N1" s="42" t="inlineStr">
        <is>
          <t>现实情景空间
(百万US$/年, 实付)</t>
        </is>
      </c>
      <c r="O1" s="42" t="inlineStr">
        <is>
          <t>占比
(现实/天花板)</t>
        </is>
      </c>
      <c r="P1" s="42" t="inlineStr">
        <is>
          <t>关键假设与风险提示</t>
        </is>
      </c>
    </row>
    <row r="2">
      <c r="A2" s="43" t="n">
        <v>1</v>
      </c>
      <c r="B2" s="11" t="inlineStr">
        <is>
          <t>AK112 胜 / K药 败</t>
        </is>
      </c>
      <c r="C2" s="44" t="inlineStr">
        <is>
          <t>NSCLC（非鳞 EGFR 突变）</t>
        </is>
      </c>
      <c r="D2" s="11" t="inlineStr">
        <is>
          <t>EGFR-TKI 进展后 二线 +培美曲塞/铂</t>
        </is>
      </c>
      <c r="E2" s="45" t="n">
        <v>229410</v>
      </c>
      <c r="F2" s="45" t="n">
        <v>625000</v>
      </c>
      <c r="G2" s="11" t="inlineStr">
        <is>
          <t>肺癌 229,410 → NSCLC 85% = 195,000 → 非鳞 70% = 136,500 → EGFR 突变（美国人群）15% = 20,475 → 晚期/复发 70% = 14,333 → 一线 TKI 后进展并接受后线治疗 65% = 9,316</t>
        </is>
      </c>
      <c r="H2" s="46" t="n">
        <v>14333</v>
      </c>
      <c r="I2" s="47" t="n">
        <v>4192</v>
      </c>
      <c r="J2" s="48" t="n">
        <v>0.65</v>
      </c>
      <c r="K2" s="49" t="n">
        <v>213299.0476190476</v>
      </c>
      <c r="L2" s="49" t="n">
        <v>198880.7277628032</v>
      </c>
      <c r="M2" s="50" t="n">
        <v>1987.2</v>
      </c>
      <c r="N2" s="51" t="n">
        <v>541.9</v>
      </c>
      <c r="O2" s="52" t="n">
        <v>0.2727017703158223</v>
      </c>
      <c r="P2" s="11" t="inlineStr">
        <is>
          <t>现实情景按 AK112 获批后峰值份额 45% 假设（该线数目前无免疫标准，竞争少）。但 PDUFA 2026/11/14 存在延期风险，且 FDA 已表态需统计学显著 OS。美国 EGFR 突变率仅约 15%（亚洲约 40%），是该适应症在美国天然偏小的主因</t>
        </is>
      </c>
    </row>
    <row r="3">
      <c r="A3" s="43" t="n">
        <v>2</v>
      </c>
      <c r="B3" s="11" t="inlineStr">
        <is>
          <t>口径有差异（AK112 III 期在做）</t>
        </is>
      </c>
      <c r="C3" s="44" t="inlineStr">
        <is>
          <t>结直肠癌（MSS/pMMR）</t>
        </is>
      </c>
      <c r="D3" s="11" t="inlineStr">
        <is>
          <t>一线转移性 +mFOLFOX</t>
        </is>
      </c>
      <c r="E3" s="45" t="n">
        <v>158850</v>
      </c>
      <c r="F3" s="45" t="n">
        <v>1600000</v>
      </c>
      <c r="G3" s="11" t="inlineStr">
        <is>
          <t>CRC 158,850 → 转移性（初诊 IV 期 22% + 后续转移约 18%）40% = 63,540 → MSS/pMMR 95% = 60,363 → 接受一线系统治疗 80% = 48,290</t>
        </is>
      </c>
      <c r="H3" s="46" t="n">
        <v>60363</v>
      </c>
      <c r="I3" s="47" t="n">
        <v>9658</v>
      </c>
      <c r="J3" s="48" t="n">
        <v>0.8</v>
      </c>
      <c r="K3" s="49" t="n">
        <v>213299.0476190476</v>
      </c>
      <c r="L3" s="49" t="n">
        <v>198880.7277628032</v>
      </c>
      <c r="M3" s="50" t="n">
        <v>10300.3</v>
      </c>
      <c r="N3" s="51" t="n">
        <v>1536.6</v>
      </c>
      <c r="O3" s="52" t="n">
        <v>0.1491832861777865</v>
      </c>
      <c r="P3" s="11" t="inlineStr">
        <is>
          <t>全表第二大市场。但 K药 KEYNOTE-651 队列 B ORR 61% 已被判「与化疗相当」而放弃，CheckMate 9X8（nivo+化疗）随机试验亦失败。现实情景按 20% 份额，前提是 HARMONi-GI3（n=600）读出阳性——该赛道此前 0/N</t>
        </is>
      </c>
    </row>
    <row r="4">
      <c r="A4" s="43" t="n">
        <v>3</v>
      </c>
      <c r="B4" s="11" t="inlineStr">
        <is>
          <t>口径有差异（K药 III 期该亚群已失败）</t>
        </is>
      </c>
      <c r="C4" s="44" t="inlineStr">
        <is>
          <t>三阴性乳腺癌（TNBC）</t>
        </is>
      </c>
      <c r="D4" s="11" t="inlineStr">
        <is>
          <t>一线转移性，PD-L1 CPS&lt;10 +紫杉类</t>
        </is>
      </c>
      <c r="E4" s="45" t="n">
        <v>324580</v>
      </c>
      <c r="F4" s="45" t="n">
        <v>4300000</v>
      </c>
      <c r="G4" s="11" t="inlineStr">
        <is>
          <t>乳腺 324,580 → TNBC 12% = 38,950 → 转移性（初诊 IV 6% + 复发转移 24%）30% = 11,685 → CPS&lt;10 约 62% = 7,245 → 接受一线治疗 90% = 6,521</t>
        </is>
      </c>
      <c r="H4" s="46" t="n">
        <v>7245</v>
      </c>
      <c r="I4" s="47" t="n">
        <v>1956</v>
      </c>
      <c r="J4" s="48" t="n">
        <v>0.9</v>
      </c>
      <c r="K4" s="49" t="n">
        <v>213299.0476190476</v>
      </c>
      <c r="L4" s="49" t="n">
        <v>198880.7277628032</v>
      </c>
      <c r="M4" s="50" t="n">
        <v>1390.8</v>
      </c>
      <c r="N4" s="51" t="n">
        <v>350.1</v>
      </c>
      <c r="O4" s="52" t="n">
        <v>0.2517295763009811</v>
      </c>
      <c r="P4" s="11" t="inlineStr">
        <is>
          <t>这是 K药 在 III 期确证无获益的人群（KEYNOTE-355 的 CPS≥1 与 ITT 未达、KEYNOTE-119 全人群 OS 失败），因此若 HARMONi-BC1（n=416）成功即为增量市场。现实情景按 30% 份额。CPS&lt;10 占比按 KEYNOTE-355 分布外推</t>
        </is>
      </c>
    </row>
    <row r="5">
      <c r="A5" s="43" t="n">
        <v>4</v>
      </c>
      <c r="B5" s="11" t="inlineStr">
        <is>
          <t>双方均未成功</t>
        </is>
      </c>
      <c r="C5" s="44" t="inlineStr">
        <is>
          <t>卵巢癌</t>
        </is>
      </c>
      <c r="D5" s="11" t="inlineStr">
        <is>
          <t>铂耐药复发，单药</t>
        </is>
      </c>
      <c r="E5" s="45" t="n">
        <v>21010</v>
      </c>
      <c r="F5" s="45" t="n">
        <v>250000</v>
      </c>
      <c r="G5" s="11" t="inlineStr">
        <is>
          <t>卵巢 21,010 → 晚期/复发并进入铂耐药 55% = 11,556 → 接受后线治疗 70% = 8,089</t>
        </is>
      </c>
      <c r="H5" s="46" t="n">
        <v>11556</v>
      </c>
      <c r="I5" s="47" t="n">
        <v>809</v>
      </c>
      <c r="J5" s="48" t="n">
        <v>0.4</v>
      </c>
      <c r="K5" s="49" t="n">
        <v>213299.0476190476</v>
      </c>
      <c r="L5" s="49" t="n">
        <v>198880.7277628032</v>
      </c>
      <c r="M5" s="50" t="n">
        <v>986</v>
      </c>
      <c r="N5" s="51" t="n">
        <v>64.40000000000001</v>
      </c>
      <c r="O5" s="52" t="n">
        <v>0.06527468318510837</v>
      </c>
      <c r="P5" s="11" t="inlineStr">
        <is>
          <t>K药 KEYNOTE-100（n=376）ORR 仅 8.0% 已否定，AK112 仅 Ia 期 n=19 且自己也放弃。现实情景按 10% 份额（几乎无路径），此格数字仅作理论参考，不应计入任何估值</t>
        </is>
      </c>
    </row>
    <row r="6">
      <c r="A6" s="43" t="n">
        <v>5</v>
      </c>
      <c r="B6" s="11" t="inlineStr">
        <is>
          <t>双方均成功（AK112 头对头击败 K药）</t>
        </is>
      </c>
      <c r="C6" s="44" t="inlineStr">
        <is>
          <t>NSCLC</t>
        </is>
      </c>
      <c r="D6" s="11" t="inlineStr">
        <is>
          <t>一线 PD-L1 阳性（TPS≥1%）单药</t>
        </is>
      </c>
      <c r="E6" s="45" t="n">
        <v>229410</v>
      </c>
      <c r="F6" s="45" t="n">
        <v>625000</v>
      </c>
      <c r="G6" s="11" t="inlineStr">
        <is>
          <t>肺癌 229,410 → NSCLC 85% = 195,000 → 晚期/转移 60% = 117,000 → 无驱动基因 75% = 87,750 → PD-L1 TPS≥1% 65% = 57,038 → 实际选择单药（不联化疗）约 35% = 19,963</t>
        </is>
      </c>
      <c r="H6" s="46" t="n">
        <v>57038</v>
      </c>
      <c r="I6" s="47" t="n">
        <v>6987</v>
      </c>
      <c r="J6" s="48" t="n">
        <v>1</v>
      </c>
      <c r="K6" s="49" t="n">
        <v>213299.0476190476</v>
      </c>
      <c r="L6" s="49" t="n">
        <v>198880.7277628032</v>
      </c>
      <c r="M6" s="50" t="n">
        <v>12166.2</v>
      </c>
      <c r="N6" s="51" t="n">
        <v>1389.6</v>
      </c>
      <c r="O6" s="52" t="n">
        <v>0.1142168657909073</v>
      </c>
      <c r="P6" s="11" t="inlineStr">
        <is>
          <t>HARMONi-2 已 PFS+OS 双达标但全为中国人群，美国获批需 HARMONi-3 或新的全球试验支撑。天花板列按全部 TPS≥1% 晚期患者计（含目前联化疗者），若 AK112 单药能替代化免联合则天花板可及。现实情景按 35% 份额</t>
        </is>
      </c>
    </row>
    <row r="7">
      <c r="A7" s="43" t="n">
        <v>6</v>
      </c>
      <c r="B7" s="11" t="inlineStr">
        <is>
          <t>双方均成功（未头对头）</t>
        </is>
      </c>
      <c r="C7" s="44" t="inlineStr">
        <is>
          <t>NSCLC（鳞）</t>
        </is>
      </c>
      <c r="D7" s="11" t="inlineStr">
        <is>
          <t>一线晚期 +含铂化疗</t>
        </is>
      </c>
      <c r="E7" s="45" t="n">
        <v>229410</v>
      </c>
      <c r="F7" s="45" t="n">
        <v>625000</v>
      </c>
      <c r="G7" s="11" t="inlineStr">
        <is>
          <t>肺癌 229,410 → NSCLC 85% = 195,000 → 鳞癌 30% = 58,500 → 晚期/转移 60% = 35,100 → 接受一线系统治疗 85% = 29,835</t>
        </is>
      </c>
      <c r="H7" s="46" t="n">
        <v>35100</v>
      </c>
      <c r="I7" s="47" t="n">
        <v>7459</v>
      </c>
      <c r="J7" s="48" t="n">
        <v>0.9</v>
      </c>
      <c r="K7" s="49" t="n">
        <v>213299.0476190476</v>
      </c>
      <c r="L7" s="49" t="n">
        <v>198880.7277628032</v>
      </c>
      <c r="M7" s="50" t="n">
        <v>6738.1</v>
      </c>
      <c r="N7" s="51" t="n">
        <v>1335.1</v>
      </c>
      <c r="O7" s="52" t="n">
        <v>0.1981423342052539</v>
      </c>
      <c r="P7" s="11" t="inlineStr">
        <is>
          <t>HARMONi-6 OS HR 0.66 但对照为替雷利珠+化疗（美国未上市），无法直接支撑美国注册。美国注册须靠 HARMONi-3 鳞癌队列（vs K药+化疗），而该队列期中 PFS 已未达界值</t>
        </is>
      </c>
    </row>
    <row r="8">
      <c r="A8" s="43" t="n">
        <v>7</v>
      </c>
      <c r="B8" s="11" t="inlineStr">
        <is>
          <t>双方均成功（对照强度不同）</t>
        </is>
      </c>
      <c r="C8" s="44" t="inlineStr">
        <is>
          <t>胆道癌（BTC）</t>
        </is>
      </c>
      <c r="D8" s="11" t="inlineStr">
        <is>
          <t>一线不可切除 +吉西他滨/顺铂</t>
        </is>
      </c>
      <c r="E8" s="45" t="n">
        <v>19000</v>
      </c>
      <c r="F8" s="45" t="n">
        <v>35000</v>
      </c>
      <c r="G8" s="11" t="inlineStr">
        <is>
          <t>胆囊及其他胆道 12,640 + 肝内胆管（含于 liver&amp;IBD 42,340 中约 15% = 6,351）≈ 19,000 → 晚期/不可切除 70% = 13,300 → 接受一线系统治疗 75% = 9,975</t>
        </is>
      </c>
      <c r="H8" s="46" t="n">
        <v>13300</v>
      </c>
      <c r="I8" s="47" t="n">
        <v>2993</v>
      </c>
      <c r="J8" s="48" t="n">
        <v>0.7</v>
      </c>
      <c r="K8" s="49" t="n">
        <v>213299.0476190476</v>
      </c>
      <c r="L8" s="49" t="n">
        <v>198880.7277628032</v>
      </c>
      <c r="M8" s="50" t="n">
        <v>1985.8</v>
      </c>
      <c r="N8" s="51" t="n">
        <v>416.7</v>
      </c>
      <c r="O8" s="52" t="n">
        <v>0.2098257866844918</v>
      </c>
      <c r="P8" s="11" t="inlineStr">
        <is>
          <t>HARMONi-GI1 头对头击败度伐利尤+化疗（OS 显著），但 HR 与中位数至今未披露，无法核验。K药 KEYNOTE-966 已获批（OS HR 0.83）。现实情景按 30% 份额。该瘤种美国发病数小，是典型「机制验证价值 &gt; 商业价值」的适应症</t>
        </is>
      </c>
    </row>
    <row r="9">
      <c r="A9" s="43" t="n">
        <v>8</v>
      </c>
      <c r="B9" s="11" t="inlineStr">
        <is>
          <t>K药 已成功（AK112 仅 II 期单臂）</t>
        </is>
      </c>
      <c r="C9" s="44" t="inlineStr">
        <is>
          <t>NSCLC</t>
        </is>
      </c>
      <c r="D9" s="11" t="inlineStr">
        <is>
          <t>可切除 II–IIIB 期 围手术期</t>
        </is>
      </c>
      <c r="E9" s="45" t="n">
        <v>229410</v>
      </c>
      <c r="F9" s="45" t="n">
        <v>625000</v>
      </c>
      <c r="G9" s="11" t="inlineStr">
        <is>
          <t>肺癌 229,410 → NSCLC 85% = 195,000 → 可切除 II–IIIB(N2) 期约 20% = 39,000 → 接受新辅助免疫治疗 60% = 23,400</t>
        </is>
      </c>
      <c r="H9" s="46" t="n">
        <v>39000</v>
      </c>
      <c r="I9" s="47" t="n">
        <v>4680</v>
      </c>
      <c r="J9" s="48" t="n">
        <v>1</v>
      </c>
      <c r="K9" s="49" t="n">
        <v>213299.0476190476</v>
      </c>
      <c r="L9" s="49" t="n">
        <v>198880.7277628032</v>
      </c>
      <c r="M9" s="50" t="n">
        <v>8318.700000000001</v>
      </c>
      <c r="N9" s="51" t="n">
        <v>930.8</v>
      </c>
      <c r="O9" s="52" t="n">
        <v>0.1118883914294851</v>
      </c>
      <c r="P9" s="11" t="inlineStr">
        <is>
          <t>K药 KEYNOTE-671 已获批（EFS HR 0.58 / OS HR 0.72）。AK112 仅 60 例 II 期单臂、EFS 未成熟、无 III 期，短期无法进入。现实情景按 20% 份额，实为长期期权而非在手资产</t>
        </is>
      </c>
    </row>
    <row r="10">
      <c r="A10" s="43" t="n">
        <v>9</v>
      </c>
      <c r="B10" s="11" t="inlineStr">
        <is>
          <t>K药 已成功（AK112 仅单中心 IIT）</t>
        </is>
      </c>
      <c r="C10" s="44" t="inlineStr">
        <is>
          <t>头颈鳞癌（HNSCC）</t>
        </is>
      </c>
      <c r="D10" s="11" t="inlineStr">
        <is>
          <t>可切除局部晚期 围手术期（CPS≥1）</t>
        </is>
      </c>
      <c r="E10" s="45" t="n">
        <v>72770</v>
      </c>
      <c r="F10" s="45" t="n">
        <v>490000</v>
      </c>
      <c r="G10" s="11" t="inlineStr">
        <is>
          <t>口腔咽 60,480 + 喉 12,290 = 72,770 → 鳞癌 90% = 65,493 → 可切除局晚 III–IVA 期 35% = 22,923 → CPS≥1 约 85% = 19,484 → 接受围手术期治疗 55% = 10,716</t>
        </is>
      </c>
      <c r="H10" s="46" t="n">
        <v>19484</v>
      </c>
      <c r="I10" s="47" t="n">
        <v>1607</v>
      </c>
      <c r="J10" s="48" t="n">
        <v>1</v>
      </c>
      <c r="K10" s="49" t="n">
        <v>213299.0476190476</v>
      </c>
      <c r="L10" s="49" t="n">
        <v>198880.7277628032</v>
      </c>
      <c r="M10" s="50" t="n">
        <v>4155.9</v>
      </c>
      <c r="N10" s="51" t="n">
        <v>319.6</v>
      </c>
      <c r="O10" s="52" t="n">
        <v>0.07690269153629585</v>
      </c>
      <c r="P10" s="11" t="inlineStr">
        <is>
          <t>K药 KEYNOTE-689 2025/6 已获批（EFS HR 0.70）。AK112 仅 36 例单中心 IIT，且喉部原发 pCR 仅 12.5% 是明显短板。现实情景按 15% 份额</t>
        </is>
      </c>
    </row>
    <row r="11">
      <c r="A11" s="43" t="n">
        <v>10</v>
      </c>
      <c r="B11" s="11" t="inlineStr">
        <is>
          <t>K药 已成功（同期别 ORR 差距有限）</t>
        </is>
      </c>
      <c r="C11" s="44" t="inlineStr">
        <is>
          <t>胃 / 胃食管结合部腺癌</t>
        </is>
      </c>
      <c r="D11" s="11" t="inlineStr">
        <is>
          <t>一线晚期 +化疗（HER2 阴性）</t>
        </is>
      </c>
      <c r="E11" s="45" t="n">
        <v>38270</v>
      </c>
      <c r="F11" s="45" t="n">
        <v>130000</v>
      </c>
      <c r="G11" s="11" t="inlineStr">
        <is>
          <t>胃 31,510 + GEJ（含于食管 22,530 中约 30% = 6,759）≈ 38,270 → 晚期/转移 60% = 22,962 → HER2 阴性 80% = 18,370 → 接受一线治疗 80% = 14,696</t>
        </is>
      </c>
      <c r="H11" s="46" t="n">
        <v>22962</v>
      </c>
      <c r="I11" s="47" t="n">
        <v>2204</v>
      </c>
      <c r="J11" s="48" t="n">
        <v>0.7</v>
      </c>
      <c r="K11" s="49" t="n">
        <v>213299.0476190476</v>
      </c>
      <c r="L11" s="49" t="n">
        <v>198880.7277628032</v>
      </c>
      <c r="M11" s="50" t="n">
        <v>3428.4</v>
      </c>
      <c r="N11" s="51" t="n">
        <v>306.8</v>
      </c>
      <c r="O11" s="52" t="n">
        <v>0.08949641970450645</v>
      </c>
      <c r="P11" s="11" t="inlineStr">
        <is>
          <t>K药 KEYNOTE-859（OS HR 0.78）与 KEYNOTE-811（HER2+）均已获批。AK112 的 ORR 71.7% 需叠加卡度尼利（AK104），是四药方案，成本与毒性口径完全不同，且无胃癌 III 期。现实情景按 15% 份额</t>
        </is>
      </c>
    </row>
    <row r="12">
      <c r="A12" s="43" t="n">
        <v>11</v>
      </c>
      <c r="B12" s="11" t="inlineStr">
        <is>
          <t>K药 机制不适用（AK112 独占场景）</t>
        </is>
      </c>
      <c r="C12" s="44" t="inlineStr">
        <is>
          <t>NSCLC</t>
        </is>
      </c>
      <c r="D12" s="11" t="inlineStr">
        <is>
          <t>PD-(L)1 经治 / IO 耐药后 +多西他赛</t>
        </is>
      </c>
      <c r="E12" s="45" t="n">
        <v>229410</v>
      </c>
      <c r="F12" s="45" t="n">
        <v>625000</v>
      </c>
      <c r="G12" s="11" t="inlineStr">
        <is>
          <t>肺癌 229,410 → NSCLC 85% = 195,000 → 晚期并接受过一线免疫治疗 55% = 107,250 → 进展后接受二线治疗 50% = 53,625</t>
        </is>
      </c>
      <c r="H12" s="46" t="n">
        <v>53625</v>
      </c>
      <c r="I12" s="47" t="n">
        <v>8044</v>
      </c>
      <c r="J12" s="48" t="n">
        <v>0.6</v>
      </c>
      <c r="K12" s="49" t="n">
        <v>213299.0476190476</v>
      </c>
      <c r="L12" s="49" t="n">
        <v>198880.7277628032</v>
      </c>
      <c r="M12" s="50" t="n">
        <v>6862.9</v>
      </c>
      <c r="N12" s="51" t="n">
        <v>959.9</v>
      </c>
      <c r="O12" s="52" t="n">
        <v>0.1398648361552103</v>
      </c>
      <c r="P12" s="11" t="inlineStr">
        <is>
          <t>全表第三大市场，且 K药 机制上无法进入（它自身即耐药来源）。这是 AK112 最干净的差异化场景。但目前仅 AK112-201 的 n=20 数据，III 期 HARMONi-8A（n=536）尚无读出。现实情景按 15% 份额</t>
        </is>
      </c>
    </row>
    <row r="13">
      <c r="A13" s="43" t="n">
        <v>12</v>
      </c>
      <c r="B13" s="11" t="inlineStr">
        <is>
          <t>K药 完败（AK112 数据未公开）</t>
        </is>
      </c>
      <c r="C13" s="44" t="inlineStr">
        <is>
          <t>胰腺癌（PDAC）</t>
        </is>
      </c>
      <c r="D13" s="11" t="inlineStr">
        <is>
          <t>一线转移性 +吉西他滨/白蛋白紫杉醇</t>
        </is>
      </c>
      <c r="E13" s="45" t="n">
        <v>67530</v>
      </c>
      <c r="F13" s="45" t="n">
        <v>65000</v>
      </c>
      <c r="G13" s="11" t="inlineStr">
        <is>
          <t>胰腺 67,530 → 转移性 52% = 35,116 → 接受一线化疗 65% = 22,825</t>
        </is>
      </c>
      <c r="H13" s="46" t="n">
        <v>35116</v>
      </c>
      <c r="I13" s="47" t="n">
        <v>1826</v>
      </c>
      <c r="J13" s="48" t="n">
        <v>0.5</v>
      </c>
      <c r="K13" s="49" t="n">
        <v>213299.0476190476</v>
      </c>
      <c r="L13" s="49" t="n">
        <v>198880.7277628032</v>
      </c>
      <c r="M13" s="50" t="n">
        <v>3745.1</v>
      </c>
      <c r="N13" s="51" t="n">
        <v>181.6</v>
      </c>
      <c r="O13" s="52" t="n">
        <v>0.04848411995250024</v>
      </c>
      <c r="P13" s="11" t="inlineStr">
        <is>
          <t>K药 KEYNOTE-028 ORR 0%（全项目最差）。AK112-210 的 II 期数据至今未公开，999 例 III 期（HARMONi-GI2）只是开发决策而非数据证据。现实情景按 8% 份额（极低成功概率），此格不应计入任何近期估值</t>
        </is>
      </c>
    </row>
    <row r="14">
      <c r="A14" s="43" t="n">
        <v>13</v>
      </c>
      <c r="B14" s="11" t="inlineStr">
        <is>
          <t>K药 III 期失败（AK112 未验证）</t>
        </is>
      </c>
      <c r="C14" s="44" t="inlineStr">
        <is>
          <t>小细胞肺癌（SCLC）</t>
        </is>
      </c>
      <c r="D14" s="11" t="inlineStr">
        <is>
          <t>一线广泛期 +依托泊苷/铂</t>
        </is>
      </c>
      <c r="E14" s="45" t="n">
        <v>29820</v>
      </c>
      <c r="F14" s="45" t="n">
        <v>625000</v>
      </c>
      <c r="G14" s="11" t="inlineStr">
        <is>
          <t>肺癌 229,410 → SCLC 13% = 29,823 → 广泛期 70% = 20,876 → 接受一线治疗 80% = 16,701</t>
        </is>
      </c>
      <c r="H14" s="46" t="n">
        <v>20876</v>
      </c>
      <c r="I14" s="47" t="n">
        <v>2505</v>
      </c>
      <c r="J14" s="48" t="n">
        <v>0.45</v>
      </c>
      <c r="K14" s="49" t="n">
        <v>213299.0476190476</v>
      </c>
      <c r="L14" s="49" t="n">
        <v>198880.7277628032</v>
      </c>
      <c r="M14" s="50" t="n">
        <v>2003.8</v>
      </c>
      <c r="N14" s="51" t="n">
        <v>224.2</v>
      </c>
      <c r="O14" s="52" t="n">
        <v>0.1118830317632929</v>
      </c>
      <c r="P14" s="11" t="inlineStr">
        <is>
          <t>K药 KEYNOTE-604 OS 未达（HR 0.80, p=0.0164），SCLC 三线适应症已撤回。AK112 仅 Ib 期 ORR 87.5% 但 mPFS 6.9 月增量有限，至今未开 1L III 期。治疗时长短（0.45 年）严重压缩商业价值</t>
        </is>
      </c>
    </row>
    <row r="15">
      <c r="A15" s="43" t="n">
        <v>14</v>
      </c>
      <c r="B15" s="11" t="inlineStr">
        <is>
          <t>K药 胜 / AK112 隐性失败</t>
        </is>
      </c>
      <c r="C15" s="44" t="inlineStr">
        <is>
          <t>肝细胞癌（HCC）</t>
        </is>
      </c>
      <c r="D15" s="11" t="inlineStr">
        <is>
          <t>系统治疗后 二线（及一线联合）</t>
        </is>
      </c>
      <c r="E15" s="45" t="n">
        <v>33870</v>
      </c>
      <c r="F15" s="45" t="n">
        <v>70000</v>
      </c>
      <c r="G15" s="11" t="inlineStr">
        <is>
          <t>liver &amp; IBD 42,340 → HCC 约 80% = 33,872 → 晚期/不可切除 60% = 20,323 → 接受一线系统治疗 70% = 14,226 → 进展后接受二线 55% = 7,824</t>
        </is>
      </c>
      <c r="H15" s="46" t="n">
        <v>20323</v>
      </c>
      <c r="I15" s="47" t="n">
        <v>1565</v>
      </c>
      <c r="J15" s="48" t="n">
        <v>0.5</v>
      </c>
      <c r="K15" s="49" t="n">
        <v>213299.0476190476</v>
      </c>
      <c r="L15" s="49" t="n">
        <v>198880.7277628032</v>
      </c>
      <c r="M15" s="50" t="n">
        <v>2167.4</v>
      </c>
      <c r="N15" s="51" t="n">
        <v>155.6</v>
      </c>
      <c r="O15" s="52" t="n">
        <v>0.07180096958583224</v>
      </c>
      <c r="P15" s="11" t="inlineStr">
        <is>
          <t>K药 KEYNOTE-224 ORR 17% 加速批准 + KEYNOTE-394 OS HR 0.79 转完全批准（但全球 KEYNOTE-240 曾失败）。AK112-207 完成后不披露数据、无 III 期，已换 AK112-209（+AK130 / +AK127 / +卡度尼利，并加信迪利+贝伐对照臂）重启。现实情景按 20% 份额</t>
        </is>
      </c>
    </row>
    <row r="16">
      <c r="A16" s="43" t="n">
        <v>15</v>
      </c>
      <c r="B16" s="11" t="inlineStr">
        <is>
          <t>K药 胜 / AK112 隐性失败</t>
        </is>
      </c>
      <c r="C16" s="44" t="inlineStr">
        <is>
          <t>宫颈癌</t>
        </is>
      </c>
      <c r="D16" s="11" t="inlineStr">
        <is>
          <t>既往化疗失败 二线 单药</t>
        </is>
      </c>
      <c r="E16" s="45" t="n">
        <v>13490</v>
      </c>
      <c r="F16" s="45" t="n">
        <v>290000</v>
      </c>
      <c r="G16" s="11" t="inlineStr">
        <is>
          <t>宫颈 13,490 → 复发/转移 35% = 4,722 → CPS≥1 约 85% = 4,013 → 接受二线治疗 70% = 2,809</t>
        </is>
      </c>
      <c r="H16" s="46" t="n">
        <v>4722</v>
      </c>
      <c r="I16" s="47" t="n">
        <v>702</v>
      </c>
      <c r="J16" s="48" t="n">
        <v>0.4</v>
      </c>
      <c r="K16" s="49" t="n">
        <v>213299.0476190476</v>
      </c>
      <c r="L16" s="49" t="n">
        <v>198880.7277628032</v>
      </c>
      <c r="M16" s="50" t="n">
        <v>402.9</v>
      </c>
      <c r="N16" s="51" t="n">
        <v>55.8</v>
      </c>
      <c r="O16" s="52" t="n">
        <v>0.138616495100061</v>
      </c>
      <c r="P16" s="11" t="inlineStr">
        <is>
          <t>K药 该二线单药加速批准已于 2024 撤回（被自家一线 KEYNOTE-826 取代，非疗效失败）。宫颈癌真正的大空间在一线（OS HR 0.60）与局晚同步放化疗（OS HR 0.67），AK112 在这两个场景亦无数据。AK112-203 完成后不披露，康方自己 0 项后继研究</t>
        </is>
      </c>
    </row>
    <row r="17">
      <c r="A17" s="43" t="n">
        <v>16</v>
      </c>
      <c r="B17" s="11" t="inlineStr">
        <is>
          <t>K药 胜 / AK112 未成队列</t>
        </is>
      </c>
      <c r="C17" s="44" t="inlineStr">
        <is>
          <t>子宫内膜癌</t>
        </is>
      </c>
      <c r="D17" s="11" t="inlineStr">
        <is>
          <t>既往治疗失败 二线（dMMR 单药 / pMMR 联合）</t>
        </is>
      </c>
      <c r="E17" s="45" t="n">
        <v>68270</v>
      </c>
      <c r="F17" s="45" t="n">
        <v>920000</v>
      </c>
      <c r="G17" s="11" t="inlineStr">
        <is>
          <t>子宫体 68,270 → 晚期/复发 25% = 17,068 → dMMR 亚群 27.5% = 4,694 → 接受二线治疗 75% = 3,520</t>
        </is>
      </c>
      <c r="H17" s="46" t="n">
        <v>17068</v>
      </c>
      <c r="I17" s="47" t="n">
        <v>1408</v>
      </c>
      <c r="J17" s="48" t="n">
        <v>1.2</v>
      </c>
      <c r="K17" s="49" t="n">
        <v>213299.0476190476</v>
      </c>
      <c r="L17" s="49" t="n">
        <v>198880.7277628032</v>
      </c>
      <c r="M17" s="50" t="n">
        <v>4368.7</v>
      </c>
      <c r="N17" s="51" t="n">
        <v>336</v>
      </c>
      <c r="O17" s="52" t="n">
        <v>0.07691725994683769</v>
      </c>
      <c r="P17" s="11" t="inlineStr">
        <is>
          <t>K药 dMMR 富集后 ORR 48–50% 获批，pMMR 靠 +lenvatinib（OS HR 0.68）获批，一线 NRG-GY018 dMMR PFS HR 0.30。AK112 从未做 dMMR 富集队列——这是研发策略缺失而非药物更弱（K药 未富集时 ORR 也只有 13%）。治疗时长 1.2 年（dMMR 应答极持久）</t>
        </is>
      </c>
    </row>
    <row r="18">
      <c r="A18" s="43" t="n">
        <v>17</v>
      </c>
      <c r="B18" s="11" t="inlineStr">
        <is>
          <t>K药 胜 / AK112 路线废弃</t>
        </is>
      </c>
      <c r="C18" s="44" t="inlineStr">
        <is>
          <t>头颈鳞癌（HNSCC）</t>
        </is>
      </c>
      <c r="D18" s="11" t="inlineStr">
        <is>
          <t>一线复发/转移 单药（CPS≥1）</t>
        </is>
      </c>
      <c r="E18" s="45" t="n">
        <v>72770</v>
      </c>
      <c r="F18" s="45" t="n">
        <v>490000</v>
      </c>
      <c r="G18" s="11" t="inlineStr">
        <is>
          <t>HNSCC 65,493 → 复发/转移 30% = 19,648 → CPS≥1 约 85% = 16,701 → 实际选择单药（CPS≥20 或不耐化疗）约 40% = 6,680</t>
        </is>
      </c>
      <c r="H18" s="46" t="n">
        <v>19648</v>
      </c>
      <c r="I18" s="47" t="n">
        <v>2004</v>
      </c>
      <c r="J18" s="48" t="n">
        <v>0.7</v>
      </c>
      <c r="K18" s="49" t="n">
        <v>213299.0476190476</v>
      </c>
      <c r="L18" s="49" t="n">
        <v>198880.7277628032</v>
      </c>
      <c r="M18" s="50" t="n">
        <v>2933.6</v>
      </c>
      <c r="N18" s="51" t="n">
        <v>279</v>
      </c>
      <c r="O18" s="52" t="n">
        <v>0.09510057699879897</v>
      </c>
      <c r="P18" s="11" t="inlineStr">
        <is>
          <t>K药 KEYNOTE-012 ORR 18% → KEYNOTE-048 CPS≥20 OS HR 0.61 已成一线标准。AK112 单药 n=10 且 CPS≥20 亚组 ORR 0%（与 K药 方向性相反），路线废弃改走联合。但剂量仅 10mg/kg，可能低估</t>
        </is>
      </c>
    </row>
    <row r="19">
      <c r="A19" s="43" t="n">
        <v>18</v>
      </c>
      <c r="B19" s="11" t="inlineStr">
        <is>
          <t>AK112 头对头未证优效（未定论）</t>
        </is>
      </c>
      <c r="C19" s="44" t="inlineStr">
        <is>
          <t>NSCLC（非鳞）</t>
        </is>
      </c>
      <c r="D19" s="11" t="inlineStr">
        <is>
          <t>一线晚期 +培美曲塞/铂（vs K药+化疗）</t>
        </is>
      </c>
      <c r="E19" s="45" t="n">
        <v>229410</v>
      </c>
      <c r="F19" s="45" t="n">
        <v>625000</v>
      </c>
      <c r="G19" s="11" t="inlineStr">
        <is>
          <t>肺癌 229,410 → NSCLC 85% = 195,000 → 非鳞 70% = 136,500 → 晚期/转移 60% = 81,900 → 无驱动基因 70% = 57,330 → 接受一线化免联合 85% = 48,731</t>
        </is>
      </c>
      <c r="H19" s="46" t="n">
        <v>57330</v>
      </c>
      <c r="I19" s="47" t="n">
        <v>9746</v>
      </c>
      <c r="J19" s="48" t="n">
        <v>0.85</v>
      </c>
      <c r="K19" s="49" t="n">
        <v>213299.0476190476</v>
      </c>
      <c r="L19" s="49" t="n">
        <v>198880.7277628032</v>
      </c>
      <c r="M19" s="50" t="n">
        <v>10394.2</v>
      </c>
      <c r="N19" s="51" t="n">
        <v>1647.5</v>
      </c>
      <c r="O19" s="52" t="n">
        <v>0.1585069281457879</v>
      </c>
      <c r="P19" s="11" t="inlineStr">
        <is>
          <t>**全表最大单一市场**，也是 HARMONi-3 非鳞队列（2027 H1 读出 PFS）的标的。K药 KEYNOTE-189 OS HR 0.56 是全项目最强效应量之一，是极高的对照门槛。鳞癌队列期中 PFS 已未达界值。现实情景按 20% 份额</t>
        </is>
      </c>
    </row>
    <row r="20">
      <c r="A20" s="43" t="n">
        <v>19</v>
      </c>
      <c r="B20" s="11" t="inlineStr">
        <is>
          <t>双方均未成功</t>
        </is>
      </c>
      <c r="C20" s="44" t="inlineStr">
        <is>
          <t>恶性胸膜间皮瘤</t>
        </is>
      </c>
      <c r="D20" s="11" t="inlineStr">
        <is>
          <t>既往治疗过，单药</t>
        </is>
      </c>
      <c r="E20" s="45" t="n">
        <v>3000</v>
      </c>
      <c r="F20" s="45" t="n">
        <v>4000</v>
      </c>
      <c r="G20" s="11" t="inlineStr">
        <is>
          <t>间皮瘤约 3,000（含于 other respiratory organs 6,120）→ 不可切除/经治 80% = 2,400 → 接受二线治疗 60% = 1,440</t>
        </is>
      </c>
      <c r="H20" s="46" t="n">
        <v>2400</v>
      </c>
      <c r="I20" s="47" t="n">
        <v>216</v>
      </c>
      <c r="J20" s="48" t="n">
        <v>0.35</v>
      </c>
      <c r="K20" s="49" t="n">
        <v>213299.0476190476</v>
      </c>
      <c r="L20" s="49" t="n">
        <v>198880.7277628032</v>
      </c>
      <c r="M20" s="50" t="n">
        <v>179.2</v>
      </c>
      <c r="N20" s="51" t="n">
        <v>15</v>
      </c>
      <c r="O20" s="52" t="n">
        <v>0.08391629357211385</v>
      </c>
      <c r="P20" s="11" t="inlineStr">
        <is>
          <t>K药 KEYNOTE-158 ORR 8.0%、DOR 14.3 月但 III 期 PROMISE-meso 失败、未获批；AK112 仅个别 PR。发病数极小 + 治疗时长极短，商业价值可忽略</t>
        </is>
      </c>
    </row>
    <row r="21">
      <c r="A21" s="43" t="n">
        <v>20</v>
      </c>
      <c r="B21" s="11" t="inlineStr">
        <is>
          <t>双方均未成功</t>
        </is>
      </c>
      <c r="C21" s="44" t="inlineStr">
        <is>
          <t>肛管鳞癌</t>
        </is>
      </c>
      <c r="D21" s="11" t="inlineStr">
        <is>
          <t>既往治疗过，单药</t>
        </is>
      </c>
      <c r="E21" s="45" t="n">
        <v>11270</v>
      </c>
      <c r="F21" s="45" t="n">
        <v>40000</v>
      </c>
      <c r="G21" s="11" t="inlineStr">
        <is>
          <t>肛管 11,270 → 鳞癌 85% = 9,580 → 复发/转移 20% = 1,916 → 接受二线治疗 65% = 1,245</t>
        </is>
      </c>
      <c r="H21" s="46" t="n">
        <v>1916</v>
      </c>
      <c r="I21" s="47" t="n">
        <v>249</v>
      </c>
      <c r="J21" s="48" t="n">
        <v>0.4</v>
      </c>
      <c r="K21" s="49" t="n">
        <v>213299.0476190476</v>
      </c>
      <c r="L21" s="49" t="n">
        <v>198880.7277628032</v>
      </c>
      <c r="M21" s="50" t="n">
        <v>163.5</v>
      </c>
      <c r="N21" s="51" t="n">
        <v>19.8</v>
      </c>
      <c r="O21" s="52" t="n">
        <v>0.1211734928059403</v>
      </c>
      <c r="P21" s="11" t="inlineStr">
        <is>
          <t>K药 KEYNOTE-158 队列 A ORR 11%（n=112）未获批；AK112 仅个别 PR。商业价值可忽略</t>
        </is>
      </c>
    </row>
    <row r="22">
      <c r="A22" s="43" t="n">
        <v>21</v>
      </c>
      <c r="B22" s="11" t="inlineStr">
        <is>
          <t>技术上不可及（现实情景为 0）</t>
        </is>
      </c>
      <c r="C22" s="44" t="inlineStr">
        <is>
          <t>结直肠癌（MSS/pMMR）</t>
        </is>
      </c>
      <c r="D22" s="11" t="inlineStr">
        <is>
          <t>晚期经治 单药</t>
        </is>
      </c>
      <c r="E22" s="45" t="n">
        <v>158850</v>
      </c>
      <c r="F22" s="45" t="n">
        <v>1600000</v>
      </c>
      <c r="G22" s="11" t="inlineStr">
        <is>
          <t>同一线 MSS mCRC 池：60,363 例 → 但 K药 单药 ORR 0–4%、AK112 单药仅个别 PR</t>
        </is>
      </c>
      <c r="H22" s="46" t="n">
        <v>60363</v>
      </c>
      <c r="I22" s="53" t="n">
        <v>0</v>
      </c>
      <c r="J22" s="48" t="n">
        <v>0</v>
      </c>
      <c r="K22" s="49" t="n">
        <v>213299.0476190476</v>
      </c>
      <c r="L22" s="49" t="n">
        <v>198880.7277628032</v>
      </c>
      <c r="M22" s="50" t="n">
        <v>0</v>
      </c>
      <c r="N22" s="54" t="n">
        <v>0</v>
      </c>
      <c r="O22" s="52" t="n">
        <v>0</v>
      </c>
      <c r="P22" s="11" t="inlineStr">
        <is>
          <t>刻意保留此行并把现实情景设为 0：这是 PD-1 单药在 MSS CRC 的确证性失败区，说明「天花板大」与「可及」是两件事。任何按天花板估值的模型都会在这类行上出错</t>
        </is>
      </c>
    </row>
    <row r="23">
      <c r="A23" s="55" t="n"/>
      <c r="B23" s="56" t="inlineStr">
        <is>
          <t>合计</t>
        </is>
      </c>
      <c r="C23" s="57" t="n"/>
      <c r="D23" s="56" t="n"/>
      <c r="E23" s="58" t="n"/>
      <c r="F23" s="58" t="n"/>
      <c r="G23" s="56" t="inlineStr">
        <is>
          <t>注：合计仅供量级校准；同一瘤种不同线数存在患者池重叠，不可简单相加</t>
        </is>
      </c>
      <c r="H23" s="58" t="n"/>
      <c r="I23" s="58" t="n"/>
      <c r="J23" s="59" t="n"/>
      <c r="K23" s="60" t="n"/>
      <c r="L23" s="60" t="n"/>
      <c r="M23" s="61" t="n">
        <v>84678.60000000001</v>
      </c>
      <c r="N23" s="61" t="n">
        <v>11066.1</v>
      </c>
      <c r="O23" s="62" t="n">
        <v>0.1306834471711254</v>
      </c>
      <c r="P23" s="56" t="n"/>
    </row>
  </sheetData>
  <autoFilter ref="A1:P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34" customWidth="1" min="4" max="4"/>
    <col width="13" customWidth="1" min="5" max="5"/>
    <col width="13" customWidth="1" min="6" max="6"/>
    <col width="66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4" customWidth="1" min="13" max="13"/>
    <col width="14" customWidth="1" min="14" max="14"/>
    <col width="9" customWidth="1" min="15" max="15"/>
    <col width="68" customWidth="1" min="16" max="16"/>
  </cols>
  <sheetData>
    <row r="1" ht="46" customHeight="1">
      <c r="A1" s="42" t="inlineStr">
        <is>
          <t>序号</t>
        </is>
      </c>
      <c r="B1" s="42" t="inlineStr">
        <is>
          <t>配对方向</t>
        </is>
      </c>
      <c r="C1" s="42" t="inlineStr">
        <is>
          <t>瘤种</t>
        </is>
      </c>
      <c r="D1" s="42" t="inlineStr">
        <is>
          <t>适应症 / 线数 / 设置</t>
        </is>
      </c>
      <c r="E1" s="42" t="inlineStr">
        <is>
          <t>美国瘤种新发
(ACS 2026)</t>
        </is>
      </c>
      <c r="F1" s="42" t="inlineStr">
        <is>
          <t>美国现存患者
(SEER 近似)</t>
        </is>
      </c>
      <c r="G1" s="42" t="inlineStr">
        <is>
          <t>目标人群推算链（每步乘数已写明）</t>
        </is>
      </c>
      <c r="H1" s="42" t="inlineStr">
        <is>
          <t>天花板
可及患者</t>
        </is>
      </c>
      <c r="I1" s="42" t="inlineStr">
        <is>
          <t>现实情景
可及患者</t>
        </is>
      </c>
      <c r="J1" s="42" t="inlineStr">
        <is>
          <t>平均治疗
时长(年)</t>
        </is>
      </c>
      <c r="K1" s="42" t="inlineStr">
        <is>
          <t>K药标价年化
(WAC, US$)</t>
        </is>
      </c>
      <c r="L1" s="42" t="inlineStr">
        <is>
          <t>K药实付年化
(净ASP, US$)</t>
        </is>
      </c>
      <c r="M1" s="42" t="inlineStr">
        <is>
          <t>天花板空间
(百万US$/年, 标价)</t>
        </is>
      </c>
      <c r="N1" s="42" t="inlineStr">
        <is>
          <t>现实情景空间
(百万US$/年, 实付)</t>
        </is>
      </c>
      <c r="O1" s="42" t="inlineStr">
        <is>
          <t>占比
(现实/天花板)</t>
        </is>
      </c>
      <c r="P1" s="42" t="inlineStr">
        <is>
          <t>关键假设与风险提示</t>
        </is>
      </c>
    </row>
    <row r="2">
      <c r="A2" s="43" t="n">
        <v>1</v>
      </c>
      <c r="B2" s="11" t="inlineStr">
        <is>
          <t>K药 独占（AK112 空白）</t>
        </is>
      </c>
      <c r="C2" s="44" t="inlineStr">
        <is>
          <t>黑色素瘤</t>
        </is>
      </c>
      <c r="D2" s="11" t="inlineStr">
        <is>
          <t>晚期 1L + III 期辅助 + IIB/IIC 辅助</t>
        </is>
      </c>
      <c r="E2" s="45" t="n">
        <v>112000</v>
      </c>
      <c r="F2" s="45" t="n">
        <v>1500000</v>
      </c>
      <c r="G2" s="11" t="inlineStr">
        <is>
          <t>黑色素瘤 112,000 → 晚期 + 高危可辅助人群约 25% = 28,000 → 接受免疫治疗 30% = 8,400</t>
        </is>
      </c>
      <c r="H2" s="46" t="n">
        <v>28000</v>
      </c>
      <c r="I2" s="47" t="n">
        <v>8400</v>
      </c>
      <c r="J2" s="48" t="n">
        <v>1</v>
      </c>
      <c r="K2" s="49" t="n">
        <v>213299.0476190476</v>
      </c>
      <c r="L2" s="49" t="n">
        <v>198880.7277628032</v>
      </c>
      <c r="M2" s="50" t="n">
        <v>5972.4</v>
      </c>
      <c r="N2" s="51" t="n">
        <v>1670.6</v>
      </c>
      <c r="O2" s="52" t="n">
        <v>0.2797209785737129</v>
      </c>
      <c r="P2" s="11" t="inlineStr">
        <is>
          <t>KEYNOTE-001/006/054/716 四项批准；AK112 无任何黑色素瘤研究</t>
        </is>
      </c>
    </row>
    <row r="3">
      <c r="A3" s="43" t="n">
        <v>2</v>
      </c>
      <c r="B3" s="11" t="inlineStr">
        <is>
          <t>K药 独占（AK112 空白）</t>
        </is>
      </c>
      <c r="C3" s="44" t="inlineStr">
        <is>
          <t>经典霍奇金淋巴瘤</t>
        </is>
      </c>
      <c r="D3" s="11" t="inlineStr">
        <is>
          <t>复发/难治</t>
        </is>
      </c>
      <c r="E3" s="45" t="n">
        <v>8920</v>
      </c>
      <c r="F3" s="45" t="n">
        <v>230000</v>
      </c>
      <c r="G3" s="11" t="inlineStr">
        <is>
          <t>cHL 8,920 → 复发/难治约 20% = 1,784 → 接受 PD-1 治疗 60% = 1,070</t>
        </is>
      </c>
      <c r="H3" s="46" t="n">
        <v>1784</v>
      </c>
      <c r="I3" s="47" t="n">
        <v>1070</v>
      </c>
      <c r="J3" s="48" t="n">
        <v>1</v>
      </c>
      <c r="K3" s="49" t="n">
        <v>213299.0476190476</v>
      </c>
      <c r="L3" s="49" t="n">
        <v>198880.7277628032</v>
      </c>
      <c r="M3" s="50" t="n">
        <v>380.5</v>
      </c>
      <c r="N3" s="51" t="n">
        <v>212.8</v>
      </c>
      <c r="O3" s="52" t="n">
        <v>0.5592328981200911</v>
      </c>
      <c r="P3" s="11" t="inlineStr">
        <is>
          <t>ORR 65–73%、PFS HR 0.65；AK112 无任何血液瘤研究</t>
        </is>
      </c>
    </row>
    <row r="4">
      <c r="A4" s="43" t="n">
        <v>3</v>
      </c>
      <c r="B4" s="11" t="inlineStr">
        <is>
          <t>K药 独占（AK112 空白）</t>
        </is>
      </c>
      <c r="C4" s="44" t="inlineStr">
        <is>
          <t>泛癌 MSI-H / dMMR</t>
        </is>
      </c>
      <c r="D4" s="11" t="inlineStr">
        <is>
          <t>既往治疗失败（不依器官）</t>
        </is>
      </c>
      <c r="E4" s="45" t="n">
        <v>24000</v>
      </c>
      <c r="F4" s="45" t="n"/>
      <c r="G4" s="11" t="inlineStr">
        <is>
          <t>美国晚期实体瘤年治疗池约 600,000 → MSI-H/dMMR 约 4% = 24,000 → 接受治疗 35% = 8,400</t>
        </is>
      </c>
      <c r="H4" s="46" t="n">
        <v>24000</v>
      </c>
      <c r="I4" s="47" t="n">
        <v>8400</v>
      </c>
      <c r="J4" s="48" t="n">
        <v>1.5</v>
      </c>
      <c r="K4" s="49" t="n">
        <v>213299.0476190476</v>
      </c>
      <c r="L4" s="49" t="n">
        <v>198880.7277628032</v>
      </c>
      <c r="M4" s="50" t="n">
        <v>7678.8</v>
      </c>
      <c r="N4" s="51" t="n">
        <v>2505.9</v>
      </c>
      <c r="O4" s="52" t="n">
        <v>0.3263411416693316</v>
      </c>
      <c r="P4" s="11" t="inlineStr">
        <is>
          <t>史上首个不依器官批准，ORR 34–71%，DOR 极长（治疗时长 1.5 年）；AK112 从未做分子富集队列</t>
        </is>
      </c>
    </row>
    <row r="5">
      <c r="A5" s="43" t="n">
        <v>4</v>
      </c>
      <c r="B5" s="11" t="inlineStr">
        <is>
          <t>K药 独占（AK112 空白）</t>
        </is>
      </c>
      <c r="C5" s="44" t="inlineStr">
        <is>
          <t>泛癌 TMB-H（≥10 mut/Mb）</t>
        </is>
      </c>
      <c r="D5" s="11" t="inlineStr">
        <is>
          <t>既往治疗失败</t>
        </is>
      </c>
      <c r="E5" s="45" t="n">
        <v>15000</v>
      </c>
      <c r="F5" s="45" t="n"/>
      <c r="G5" s="11" t="inlineStr">
        <is>
          <t>晚期实体瘤中 TMB-H（排除 dMMR）约 2.5% = 15,000 → 接受治疗 15% = 2,250</t>
        </is>
      </c>
      <c r="H5" s="46" t="n">
        <v>15000</v>
      </c>
      <c r="I5" s="47" t="n">
        <v>2250</v>
      </c>
      <c r="J5" s="48" t="n">
        <v>1</v>
      </c>
      <c r="K5" s="49" t="n">
        <v>213299.0476190476</v>
      </c>
      <c r="L5" s="49" t="n">
        <v>198880.7277628032</v>
      </c>
      <c r="M5" s="50" t="n">
        <v>3199.5</v>
      </c>
      <c r="N5" s="51" t="n">
        <v>447.5</v>
      </c>
      <c r="O5" s="52" t="n">
        <v>0.1398604892868564</v>
      </c>
      <c r="P5" s="11" t="inlineStr">
        <is>
          <t>ORR 29%，学界对通用阈值争议大；AK112 无 TMB 分层开发</t>
        </is>
      </c>
    </row>
    <row r="6">
      <c r="A6" s="43" t="n">
        <v>5</v>
      </c>
      <c r="B6" s="11" t="inlineStr">
        <is>
          <t>K药 独占（AK112 空白）</t>
        </is>
      </c>
      <c r="C6" s="44" t="inlineStr">
        <is>
          <t>Merkel 细胞癌</t>
        </is>
      </c>
      <c r="D6" s="11" t="inlineStr">
        <is>
          <t>复发局晚/转移 一线</t>
        </is>
      </c>
      <c r="E6" s="45" t="n">
        <v>3000</v>
      </c>
      <c r="F6" s="45" t="n">
        <v>4500</v>
      </c>
      <c r="G6" s="11" t="inlineStr">
        <is>
          <t>MCC 约 3,000 → 复发局晚/转移 25% = 750 → 接受治疗 50% = 375</t>
        </is>
      </c>
      <c r="H6" s="46" t="n">
        <v>750</v>
      </c>
      <c r="I6" s="47" t="n">
        <v>375</v>
      </c>
      <c r="J6" s="48" t="n">
        <v>1</v>
      </c>
      <c r="K6" s="49" t="n">
        <v>213299.0476190476</v>
      </c>
      <c r="L6" s="49" t="n">
        <v>198880.7277628032</v>
      </c>
      <c r="M6" s="50" t="n">
        <v>160</v>
      </c>
      <c r="N6" s="51" t="n">
        <v>74.59999999999999</v>
      </c>
      <c r="O6" s="52" t="n">
        <v>0.4662016309561881</v>
      </c>
      <c r="P6" s="11" t="inlineStr">
        <is>
          <t>ORR 56%、3 年 OS 59%；AK112 无</t>
        </is>
      </c>
    </row>
    <row r="7">
      <c r="A7" s="43" t="n">
        <v>6</v>
      </c>
      <c r="B7" s="11" t="inlineStr">
        <is>
          <t>K药 独占（AK112 空白）</t>
        </is>
      </c>
      <c r="C7" s="44" t="inlineStr">
        <is>
          <t>皮肤鳞癌（cSCC）</t>
        </is>
      </c>
      <c r="D7" s="11" t="inlineStr">
        <is>
          <t>复发/转移 或 局晚不可手术</t>
        </is>
      </c>
      <c r="E7" s="45" t="n">
        <v>15000</v>
      </c>
      <c r="F7" s="45" t="n"/>
      <c r="G7" s="11" t="inlineStr">
        <is>
          <t>cSCC 年发病超百万，但晚期/不可切除仅约 15,000 → 接受治疗 30% = 4,500</t>
        </is>
      </c>
      <c r="H7" s="46" t="n">
        <v>15000</v>
      </c>
      <c r="I7" s="47" t="n">
        <v>4500</v>
      </c>
      <c r="J7" s="48" t="n">
        <v>0.8</v>
      </c>
      <c r="K7" s="49" t="n">
        <v>213299.0476190476</v>
      </c>
      <c r="L7" s="49" t="n">
        <v>198880.7277628032</v>
      </c>
      <c r="M7" s="50" t="n">
        <v>2559.6</v>
      </c>
      <c r="N7" s="51" t="n">
        <v>716</v>
      </c>
      <c r="O7" s="52" t="n">
        <v>0.2797209785737129</v>
      </c>
      <c r="P7" s="11" t="inlineStr">
        <is>
          <t>ORR 35–50% 已获批（但辅助 KEYNOTE-630 失败，OS HR 1.47）；AK112 仅 1 项 IIT 无读出</t>
        </is>
      </c>
    </row>
    <row r="8">
      <c r="A8" s="43" t="n">
        <v>7</v>
      </c>
      <c r="B8" s="11" t="inlineStr">
        <is>
          <t>K药 独占（AK112 空白）</t>
        </is>
      </c>
      <c r="C8" s="44" t="inlineStr">
        <is>
          <t>尿路上皮癌 / 膀胱癌</t>
        </is>
      </c>
      <c r="D8" s="11" t="inlineStr">
        <is>
          <t>晚期 1L(+EV) / 2L / NMIBC CIS / MIBC 围手术期</t>
        </is>
      </c>
      <c r="E8" s="45" t="n">
        <v>84530</v>
      </c>
      <c r="F8" s="45" t="n">
        <v>730000</v>
      </c>
      <c r="G8" s="11" t="inlineStr">
        <is>
          <t>膀胱 84,530 → 晚期 + MIBC 围手术期 + NMIBC CIS 合计可及约 22,000 → 接受治疗 40% = 8,800</t>
        </is>
      </c>
      <c r="H8" s="46" t="n">
        <v>22000</v>
      </c>
      <c r="I8" s="47" t="n">
        <v>8800</v>
      </c>
      <c r="J8" s="48" t="n">
        <v>0.9</v>
      </c>
      <c r="K8" s="49" t="n">
        <v>213299.0476190476</v>
      </c>
      <c r="L8" s="49" t="n">
        <v>198880.7277628032</v>
      </c>
      <c r="M8" s="50" t="n">
        <v>4223.3</v>
      </c>
      <c r="N8" s="51" t="n">
        <v>1575.1</v>
      </c>
      <c r="O8" s="52" t="n">
        <v>0.3729613047649505</v>
      </c>
      <c r="P8" s="11" t="inlineStr">
        <is>
          <t>四个适应症：EV-302 OS HR 0.47（全项目最强）、KEYNOTE-045、-057、-905；AK112 仅 1 项 IIT</t>
        </is>
      </c>
    </row>
    <row r="9">
      <c r="A9" s="43" t="n">
        <v>8</v>
      </c>
      <c r="B9" s="11" t="inlineStr">
        <is>
          <t>K药 独占（AK112 空白）</t>
        </is>
      </c>
      <c r="C9" s="44" t="inlineStr">
        <is>
          <t>肾细胞癌（RCC）</t>
        </is>
      </c>
      <c r="D9" s="11" t="inlineStr">
        <is>
          <t>晚期 1L(+阿昔替尼) + 术后辅助</t>
        </is>
      </c>
      <c r="E9" s="45" t="n">
        <v>80450</v>
      </c>
      <c r="F9" s="45" t="n">
        <v>600000</v>
      </c>
      <c r="G9" s="11" t="inlineStr">
        <is>
          <t>肾癌 80,450 → 晚期 + 中高危可辅助约 24,000 → 接受治疗 35% = 8,400</t>
        </is>
      </c>
      <c r="H9" s="46" t="n">
        <v>24000</v>
      </c>
      <c r="I9" s="47" t="n">
        <v>8400</v>
      </c>
      <c r="J9" s="48" t="n">
        <v>1.2</v>
      </c>
      <c r="K9" s="49" t="n">
        <v>213299.0476190476</v>
      </c>
      <c r="L9" s="49" t="n">
        <v>198880.7277628032</v>
      </c>
      <c r="M9" s="50" t="n">
        <v>6143</v>
      </c>
      <c r="N9" s="51" t="n">
        <v>2004.7</v>
      </c>
      <c r="O9" s="52" t="n">
        <v>0.3263411416693316</v>
      </c>
      <c r="P9" s="11" t="inlineStr">
        <is>
          <t>KEYNOTE-426 OS HR 0.68、KEYNOTE-564 辅助 OS HR 0.62（首个辅助免疫 OS 阳性）；AK112 仅 2 项 IIT</t>
        </is>
      </c>
    </row>
    <row r="10">
      <c r="A10" s="43" t="n">
        <v>9</v>
      </c>
      <c r="B10" s="11" t="inlineStr">
        <is>
          <t>K药 独占（AK112 空白）</t>
        </is>
      </c>
      <c r="C10" s="44" t="inlineStr">
        <is>
          <t>三阴性乳腺癌（早期）</t>
        </is>
      </c>
      <c r="D10" s="11" t="inlineStr">
        <is>
          <t>II–III 期 新辅助 + 辅助</t>
        </is>
      </c>
      <c r="E10" s="45" t="n">
        <v>38950</v>
      </c>
      <c r="F10" s="45" t="n"/>
      <c r="G10" s="11" t="inlineStr">
        <is>
          <t>TNBC 38,950 → II–III 期可手术 55% = 21,423 → 接受围手术期免疫 55% = 11,782</t>
        </is>
      </c>
      <c r="H10" s="46" t="n">
        <v>21423</v>
      </c>
      <c r="I10" s="47" t="n">
        <v>11782</v>
      </c>
      <c r="J10" s="48" t="n">
        <v>0.9</v>
      </c>
      <c r="K10" s="49" t="n">
        <v>213299.0476190476</v>
      </c>
      <c r="L10" s="49" t="n">
        <v>198880.7277628032</v>
      </c>
      <c r="M10" s="50" t="n">
        <v>4112.6</v>
      </c>
      <c r="N10" s="51" t="n">
        <v>2108.9</v>
      </c>
      <c r="O10" s="52" t="n">
        <v>0.5127935037973961</v>
      </c>
      <c r="P10" s="11" t="inlineStr">
        <is>
          <t>KEYNOTE-522 pCR 64.8%、EFS HR 0.63、OS HR 0.66（唯一 OS 阳性的早期 TNBC 免疫方案）；AK112 仅 IIT</t>
        </is>
      </c>
    </row>
    <row r="11">
      <c r="A11" s="43" t="n">
        <v>10</v>
      </c>
      <c r="B11" s="11" t="inlineStr">
        <is>
          <t>K药 独占（AK112 空白）</t>
        </is>
      </c>
      <c r="C11" s="44" t="inlineStr">
        <is>
          <t>食管癌 / GEJ</t>
        </is>
      </c>
      <c r="D11" s="11" t="inlineStr">
        <is>
          <t>局晚/转移 一线 +化疗</t>
        </is>
      </c>
      <c r="E11" s="45" t="n">
        <v>22530</v>
      </c>
      <c r="F11" s="45" t="n">
        <v>50000</v>
      </c>
      <c r="G11" s="11" t="inlineStr">
        <is>
          <t>食管 22,530 → 晚期/转移 65% = 14,645 → 接受一线治疗 40% = 5,858</t>
        </is>
      </c>
      <c r="H11" s="46" t="n">
        <v>14645</v>
      </c>
      <c r="I11" s="47" t="n">
        <v>5858</v>
      </c>
      <c r="J11" s="48" t="n">
        <v>0.6</v>
      </c>
      <c r="K11" s="49" t="n">
        <v>213299.0476190476</v>
      </c>
      <c r="L11" s="49" t="n">
        <v>198880.7277628032</v>
      </c>
      <c r="M11" s="50" t="n">
        <v>1874.3</v>
      </c>
      <c r="N11" s="51" t="n">
        <v>699</v>
      </c>
      <c r="O11" s="52" t="n">
        <v>0.3729613047649504</v>
      </c>
      <c r="P11" s="11" t="inlineStr">
        <is>
          <t>KEYNOTE-590 OS HR 0.73；AK112 仅 5 项 IIT 无读出，且 LEAP-014 同类思路在 K药 侧亦失败</t>
        </is>
      </c>
    </row>
    <row r="12">
      <c r="A12" s="43" t="n">
        <v>11</v>
      </c>
      <c r="B12" s="11" t="inlineStr">
        <is>
          <t>K药 独占（AK112 空白）</t>
        </is>
      </c>
      <c r="C12" s="44" t="inlineStr">
        <is>
          <t>宫颈癌（一线 + 局部晚期）</t>
        </is>
      </c>
      <c r="D12" s="11" t="inlineStr">
        <is>
          <t>1L 复发/转移 +化疗±bev；局晚 同步放化疗</t>
        </is>
      </c>
      <c r="E12" s="45" t="n">
        <v>13490</v>
      </c>
      <c r="F12" s="45" t="n">
        <v>290000</v>
      </c>
      <c r="G12" s="11" t="inlineStr">
        <is>
          <t>宫颈 13,490 → 一线复发转移 + 局晚可及约 55% = 7,420 → 接受治疗 45% = 3,339</t>
        </is>
      </c>
      <c r="H12" s="46" t="n">
        <v>7420</v>
      </c>
      <c r="I12" s="47" t="n">
        <v>3339</v>
      </c>
      <c r="J12" s="48" t="n">
        <v>1</v>
      </c>
      <c r="K12" s="49" t="n">
        <v>213299.0476190476</v>
      </c>
      <c r="L12" s="49" t="n">
        <v>198880.7277628032</v>
      </c>
      <c r="M12" s="50" t="n">
        <v>1582.7</v>
      </c>
      <c r="N12" s="51" t="n">
        <v>664.1</v>
      </c>
      <c r="O12" s="52" t="n">
        <v>0.4195814678605693</v>
      </c>
      <c r="P12" s="11" t="inlineStr">
        <is>
          <t>KEYNOTE-826 OS HR 0.60、KEYNOTE-A18 OS HR 0.67；AK112 仅 IIT 且场景已挪到早期新辅助</t>
        </is>
      </c>
    </row>
    <row r="13">
      <c r="A13" s="43" t="n">
        <v>12</v>
      </c>
      <c r="B13" s="11" t="inlineStr">
        <is>
          <t>K药 独占（AK112 空白）</t>
        </is>
      </c>
      <c r="C13" s="44" t="inlineStr">
        <is>
          <t>NSCLC 术后辅助</t>
        </is>
      </c>
      <c r="D13" s="11" t="inlineStr">
        <is>
          <t>IB–IIIA 期 完全切除后</t>
        </is>
      </c>
      <c r="E13" s="45" t="n">
        <v>195000</v>
      </c>
      <c r="F13" s="45" t="n">
        <v>625000</v>
      </c>
      <c r="G13" s="11" t="inlineStr">
        <is>
          <t>NSCLC 195,000 → I–IIIA 可切除并完成手术约 22% = 42,900 → 接受辅助免疫 20% = 8,580</t>
        </is>
      </c>
      <c r="H13" s="46" t="n">
        <v>42900</v>
      </c>
      <c r="I13" s="47" t="n">
        <v>8580</v>
      </c>
      <c r="J13" s="48" t="n">
        <v>1</v>
      </c>
      <c r="K13" s="49" t="n">
        <v>213299.0476190476</v>
      </c>
      <c r="L13" s="49" t="n">
        <v>198880.7277628032</v>
      </c>
      <c r="M13" s="50" t="n">
        <v>9150.5</v>
      </c>
      <c r="N13" s="51" t="n">
        <v>1706.4</v>
      </c>
      <c r="O13" s="52" t="n">
        <v>0.1864806523824752</v>
      </c>
      <c r="P13" s="11" t="inlineStr">
        <is>
          <t>KEYNOTE-091 全体 DFS HR 0.76（但 PD-L1≥50% 亚组未达）；AK112 无术后单纯辅助研究</t>
        </is>
      </c>
    </row>
    <row r="14">
      <c r="A14" s="43" t="n">
        <v>13</v>
      </c>
      <c r="B14" s="11" t="inlineStr">
        <is>
          <t>K药 独占（AK112 空白）</t>
        </is>
      </c>
      <c r="C14" s="44" t="inlineStr">
        <is>
          <t>胃癌 HER2 阳性</t>
        </is>
      </c>
      <c r="D14" s="11" t="inlineStr">
        <is>
          <t>一线 +曲妥珠单抗+化疗</t>
        </is>
      </c>
      <c r="E14" s="45" t="n">
        <v>38270</v>
      </c>
      <c r="F14" s="45" t="n">
        <v>130000</v>
      </c>
      <c r="G14" s="11" t="inlineStr">
        <is>
          <t>胃/GEJ 38,270 → 晚期 60% × HER2 阳性 20% = 4,592 → 接受治疗 40% = 1,837</t>
        </is>
      </c>
      <c r="H14" s="46" t="n">
        <v>4592</v>
      </c>
      <c r="I14" s="47" t="n">
        <v>1837</v>
      </c>
      <c r="J14" s="48" t="n">
        <v>0.8</v>
      </c>
      <c r="K14" s="49" t="n">
        <v>213299.0476190476</v>
      </c>
      <c r="L14" s="49" t="n">
        <v>198880.7277628032</v>
      </c>
      <c r="M14" s="50" t="n">
        <v>783.6</v>
      </c>
      <c r="N14" s="51" t="n">
        <v>292.3</v>
      </c>
      <c r="O14" s="52" t="n">
        <v>0.3730019146631174</v>
      </c>
      <c r="P14" s="11" t="inlineStr">
        <is>
          <t>KEYNOTE-811 ORR 74% vs 52%、PFS HR 0.72；AK112 无 HER2 分层开发</t>
        </is>
      </c>
    </row>
    <row r="15">
      <c r="A15" s="55" t="n"/>
      <c r="B15" s="56" t="inlineStr">
        <is>
          <t>合计</t>
        </is>
      </c>
      <c r="C15" s="57" t="n"/>
      <c r="D15" s="56" t="n"/>
      <c r="E15" s="58" t="n"/>
      <c r="F15" s="58" t="n"/>
      <c r="G15" s="56" t="inlineStr">
        <is>
          <t>注：合计仅供量级校准；同一瘤种不同线数存在患者池重叠，不可简单相加</t>
        </is>
      </c>
      <c r="H15" s="58" t="n"/>
      <c r="I15" s="58" t="n"/>
      <c r="J15" s="59" t="n"/>
      <c r="K15" s="60" t="n"/>
      <c r="L15" s="60" t="n"/>
      <c r="M15" s="61" t="n">
        <v>47820.6</v>
      </c>
      <c r="N15" s="61" t="n">
        <v>14677.8</v>
      </c>
      <c r="O15" s="62" t="n">
        <v>0.3069351231551667</v>
      </c>
      <c r="P15" s="56" t="n"/>
    </row>
  </sheetData>
  <autoFilter ref="A1:P1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4" customWidth="1" min="1" max="1"/>
    <col width="126" customWidth="1" min="2" max="2"/>
  </cols>
  <sheetData>
    <row r="1">
      <c r="A1" s="1" t="inlineStr">
        <is>
          <t>美国价格与测算口径（2026-03）</t>
        </is>
      </c>
      <c r="B1" s="2" t="inlineStr"/>
    </row>
    <row r="2">
      <c r="A2" s="3" t="inlineStr"/>
      <c r="B2" s="4" t="inlineStr"/>
    </row>
    <row r="3">
      <c r="A3" s="3" t="inlineStr">
        <is>
          <t>K药 标价（WAC / list）</t>
        </is>
      </c>
      <c r="B3" s="4" t="inlineStr">
        <is>
          <t>$12,272 / 200mg（Q3W）；$24,544 / 400mg（Q6W）—— 两者每周单价完全相同。来源：Merck 官方患者网站，标注 current as of March 2026</t>
        </is>
      </c>
    </row>
    <row r="4">
      <c r="A4" s="3" t="inlineStr">
        <is>
          <t>K药 标价年化</t>
        </is>
      </c>
      <c r="B4" s="4" t="inlineStr">
        <is>
          <t>$213,299 / 患者·年（17.38 个 Q3W 周期）</t>
        </is>
      </c>
    </row>
    <row r="5">
      <c r="A5" s="3" t="inlineStr">
        <is>
          <t>K药 实付（Medicare Part B 净 ASP）</t>
        </is>
      </c>
      <c r="B5" s="4" t="inlineStr">
        <is>
          <t>J9271 Q3-2026 支付上限 $60.645/mg = ASP+6% → 剥离加成后净 ASP = $11,442 / 200mg</t>
        </is>
      </c>
    </row>
    <row r="6">
      <c r="A6" s="3" t="inlineStr">
        <is>
          <t>K药 实付年化</t>
        </is>
      </c>
      <c r="B6" s="4" t="inlineStr">
        <is>
          <t>$198,881 / 患者·年（约为标价的 93%）</t>
        </is>
      </c>
    </row>
    <row r="7">
      <c r="A7" s="3" t="inlineStr">
        <is>
          <t>为什么美国标价与实付只差约 7%</t>
        </is>
      </c>
      <c r="B7" s="4" t="inlineStr">
        <is>
          <t>K药 是院内输注的 Part B buy-and-bill 药物，不走 PBM 零售回扣体系，返利空间远小于 Part D 口服药。这与中国「标价 vs 赠药后实付」可差 2–5 倍完全不同</t>
        </is>
      </c>
    </row>
    <row r="8">
      <c r="A8" s="3" t="inlineStr">
        <is>
          <t>商业保险实际议价区间</t>
        </is>
      </c>
      <c r="B8" s="4" t="inlineStr">
        <is>
          <t>各州各支付方对 200mg 的议价区间为 $12,000 至 $30,000+（同地区不同机构可差 5–10 倍），主要由计费类别、服务场所与议价能力决定，非临床因素。本表统一用 ASP 净价，属保守口径</t>
        </is>
      </c>
    </row>
    <row r="9">
      <c r="A9" s="3" t="inlineStr">
        <is>
          <t>Medicare 实际到手</t>
        </is>
      </c>
      <c r="B9" s="4" t="inlineStr">
        <is>
          <t>ASP+6% 再扣 2% sequestration → 实际约 ASP+4.3% ≈ $11,935 / 200mg</t>
        </is>
      </c>
    </row>
    <row r="10">
      <c r="A10" s="3" t="inlineStr"/>
      <c r="B10" s="4" t="inlineStr"/>
    </row>
    <row r="11">
      <c r="A11" s="3" t="inlineStr">
        <is>
          <t>AK112 美国价格</t>
        </is>
      </c>
      <c r="B11" s="4" t="inlineStr">
        <is>
          <t>**尚未上市，Summit 从未披露定价。本表统一按与 K药 净价平价假设，纯属占位。**</t>
        </is>
      </c>
    </row>
    <row r="12">
      <c r="A12" s="3" t="inlineStr">
        <is>
          <t>AK112 定价的成本约束</t>
        </is>
      </c>
      <c r="B12" s="4" t="inlineStr">
        <is>
          <t>依沃西 20mg/kg Q3W，70kg 患者单次 1,400mg，是 K药 200mg 的约 7 倍蛋白量。COGS 显著更高，构成定价下限约束——难以低价竞争</t>
        </is>
      </c>
    </row>
    <row r="13">
      <c r="A13" s="3" t="inlineStr">
        <is>
          <t>AK112 定价三情景（供自行替换）</t>
        </is>
      </c>
      <c r="B13" s="4" t="inlineStr">
        <is>
          <t>平价 $198,881；OS 优效标签溢价 15% = $228,713；仅 PFS 标签需折价 10% = $178,993</t>
        </is>
      </c>
    </row>
    <row r="14">
      <c r="A14" s="3" t="inlineStr"/>
      <c r="B14" s="4" t="inlineStr"/>
    </row>
    <row r="15">
      <c r="A15" s="3" t="inlineStr">
        <is>
          <t>市场空间算法</t>
        </is>
      </c>
      <c r="B15" s="4" t="inlineStr">
        <is>
          <t>空间 = 可及患者数 × 平均治疗时长（年）× 年化费用</t>
        </is>
      </c>
    </row>
    <row r="16">
      <c r="A16" s="3" t="inlineStr">
        <is>
          <t>为什么必须乘治疗时长</t>
        </is>
      </c>
      <c r="B16" s="4" t="inlineStr">
        <is>
          <t>绝大多数晚期适应症的患者治疗不满一年（如 ES-SCLC 仅 0.45 年、间皮瘤 0.35 年）。直接用「患者数 × 年费用」会系统性高估 30–60%。本表已单列治疗时长，可自行调整</t>
        </is>
      </c>
    </row>
    <row r="17">
      <c r="A17" s="3" t="inlineStr">
        <is>
          <t>天花板情景</t>
        </is>
      </c>
      <c r="B17" s="4">
        <f> 全部符合分期/biomarker 条件的患者（不打治疗渗透率、不打竞争份额）× 治疗时长 × **标价**。用途：判断适应症的物理上限</f>
        <v/>
      </c>
    </row>
    <row r="18">
      <c r="A18" s="3" t="inlineStr">
        <is>
          <t>现实情景</t>
        </is>
      </c>
      <c r="B18" s="4">
        <f> 天花板 → 再乘治疗渗透率 → 再乘竞争份额假设 × 治疗时长 × **实付净价**。用途：贴近可实现峰值销售</f>
        <v/>
      </c>
    </row>
    <row r="19">
      <c r="A19" s="3" t="inlineStr">
        <is>
          <t>份额假设已逐行标注</t>
        </is>
      </c>
      <c r="B19" s="4" t="inlineStr">
        <is>
          <t>见每行最后一列。份额是本表最主观的变量，请务必自行替换后再使用</t>
        </is>
      </c>
    </row>
    <row r="20">
      <c r="A20" s="3" t="inlineStr"/>
      <c r="B20" s="4" t="inlineStr"/>
    </row>
    <row r="21">
      <c r="A21" s="1" t="inlineStr">
        <is>
          <t>数据来源</t>
        </is>
      </c>
      <c r="B21" s="2" t="inlineStr"/>
    </row>
    <row r="22">
      <c r="A22" s="3" t="inlineStr">
        <is>
          <t>发病数</t>
        </is>
      </c>
      <c r="B22" s="4" t="inlineStr">
        <is>
          <t>ACS《Cancer Statistics, 2026》Table 1（CA: A Cancer Journal for Clinicians，2026-01-13 发布）。全美 2026 年预计新发 2,114,850 例。所有「瘤种新发」列均为该表实测值，未做调整</t>
        </is>
      </c>
    </row>
    <row r="23">
      <c r="A23" s="3" t="inlineStr">
        <is>
          <t>现存患者数</t>
        </is>
      </c>
      <c r="B23" s="4" t="inlineStr">
        <is>
          <t>SEER 全病程 prevalence 近似值（非 5 年 prevalence），仅作背景参考。**晚期免疫治疗的市场空间由年治疗池驱动，存量列不参与任何计算**</t>
        </is>
      </c>
    </row>
    <row r="24">
      <c r="A24" s="3" t="inlineStr">
        <is>
          <t>分期 / biomarker / 渗透率占比</t>
        </is>
      </c>
      <c r="B24" s="4" t="inlineStr">
        <is>
          <t>均为文献与流行病学惯用值的推算，非官方统计。每行「目标人群推算链」列已把每一步乘数写明，可逐步复核与替换</t>
        </is>
      </c>
    </row>
    <row r="25">
      <c r="A25" s="3" t="inlineStr">
        <is>
          <t>价格</t>
        </is>
      </c>
      <c r="B25" s="4" t="inlineStr">
        <is>
          <t>Merck 官方 WAC 页（2026-03）、CMS Medicare Part B ASP 定价文件（J9271, Q3-2026）</t>
        </is>
      </c>
    </row>
    <row r="26">
      <c r="A26" s="3" t="inlineStr"/>
      <c r="B26" s="4" t="inlineStr"/>
    </row>
    <row r="27">
      <c r="A27" s="1" t="inlineStr">
        <is>
          <t>校准检验</t>
        </is>
      </c>
      <c r="B27" s="2" t="inlineStr"/>
    </row>
    <row r="28">
      <c r="A28" s="3" t="inlineStr">
        <is>
          <t>Keytruda 实际销售额</t>
        </is>
      </c>
      <c r="B28" s="4" t="inlineStr">
        <is>
          <t>2025 年全球 $316.8 亿（含 Keytruda Qlex），美国约占 55% ≈ $174 亿；2025 Q4 单季 $83.7 亿</t>
        </is>
      </c>
    </row>
    <row r="29">
      <c r="A29" s="3" t="inlineStr">
        <is>
          <t>反推患者年</t>
        </is>
      </c>
      <c r="B29" s="4" t="inlineStr">
        <is>
          <t>$174 亿 ÷ $198,881 ≈ 87,500 患者·年。本表「K药 独占领域 + 配对适应症中 K药 已获批部分」的现实情景合计应落在同一量级，否则份额假设需下调</t>
        </is>
      </c>
    </row>
    <row r="30">
      <c r="A30" s="3" t="inlineStr"/>
      <c r="B30" s="4" t="inlineStr"/>
    </row>
    <row r="31">
      <c r="A31" s="3" t="inlineStr">
        <is>
          <t>免责</t>
        </is>
      </c>
      <c r="B31" s="4" t="inlineStr">
        <is>
          <t>本表为公开信息整理与情景推算，所有占比与份额均为假设，不构成任何医疗建议或投资建议。发病数与价格可核验，患者分层与份额不可核验</t>
        </is>
      </c>
    </row>
    <row r="32">
      <c r="A32" s="63" t="inlineStr">
        <is>
          <t>【实测校准结果 —— 请务必先读】</t>
        </is>
      </c>
      <c r="B32" s="64" t="inlineStr"/>
    </row>
    <row r="33">
      <c r="A33" s="38" t="inlineStr">
        <is>
          <t>本表现实情景合计</t>
        </is>
      </c>
      <c r="B33" s="65" t="inlineStr">
        <is>
          <t>配对适应症 $110.7 亿 + K药独占领域 $146.8 亿 = **$257.4 亿/年**</t>
        </is>
      </c>
    </row>
    <row r="34">
      <c r="A34" s="38" t="inlineStr">
        <is>
          <t>Keytruda 美国实际销售额</t>
        </is>
      </c>
      <c r="B34" s="65" t="inlineStr">
        <is>
          <t>约 **$174 亿/年**（2025 年全球 $316.8 亿 × 美国占比约 55%）</t>
        </is>
      </c>
    </row>
    <row r="35">
      <c r="A35" s="38" t="inlineStr">
        <is>
          <t>结论：本表整体偏高</t>
        </is>
      </c>
      <c r="B35" s="65" t="inlineStr">
        <is>
          <t>剔除纯 AK112 场景（IO 耐药 NSCLC、胰腺癌、MSS CRC 一线、EGFR 二线、CPS&lt;10 TNBC，合计约 $36 亿）后，可归属 K药 的现实情景约 $222 亿，仍比实际高约 27%。</t>
        </is>
      </c>
    </row>
    <row r="36">
      <c r="A36" s="38" t="inlineStr">
        <is>
          <t>偏高的三个来源</t>
        </is>
      </c>
      <c r="B36" s="65" t="inlineStr">
        <is>
          <t>①竞争份额假设（15%–45%）整体偏乐观；②「接受治疗渗透率」在真实世界更低（体能状态、合并症、患者拒治、可及性）；③同一瘤种不同线数的患者池存在重叠，横向相加会重复计数</t>
        </is>
      </c>
    </row>
    <row r="37">
      <c r="A37" s="38" t="inlineStr">
        <is>
          <t>**建议用法**</t>
        </is>
      </c>
      <c r="B37" s="65" t="inlineStr">
        <is>
          <t>把「现实情景空间」整体乘 0.7–0.75 作为校准系数后再使用；或直接把各行的竞争份额假设下调三分之一。天花板列不受此影响（它本就是物理上限，不含份额假设）</t>
        </is>
      </c>
    </row>
    <row r="38">
      <c r="A38" s="38" t="inlineStr">
        <is>
          <t>为什么保留未校准的原值</t>
        </is>
      </c>
      <c r="B38" s="65" t="inlineStr">
        <is>
          <t>校准系数应由使用者按自己的份额判断施加，而非我在数据里预先抹平。逐行份额假设已写在最后一列，便于替换</t>
        </is>
      </c>
    </row>
    <row r="39">
      <c r="A39" s="38" t="inlineStr"/>
      <c r="B39" s="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2026-09-05T13:40:47Z</dcterms:created>
  <dcterms:modified xsi:type="dcterms:W3CDTF">2026-09-05T14:09:04Z</dcterms:modified>
</cp:coreProperties>
</file>