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概览" sheetId="1" state="visible" r:id="rId3"/>
    <sheet name="2_营收指引 vs 实际" sheetId="2" state="visible" r:id="rId4"/>
    <sheet name="3_盈利目标 vs 实际" sheetId="3" state="visible" r:id="rId5"/>
    <sheet name="4_重点产品销售指引" sheetId="4" state="visible" r:id="rId6"/>
    <sheet name="5_里程碑指引 vs 实际" sheetId="5" state="visible" r:id="rId7"/>
    <sheet name="6_历年指引时间线" sheetId="6" state="visible" r:id="rId8"/>
    <sheet name="7_营收数据对比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<sst xmlns="http://schemas.openxmlformats.org/spreadsheetml/2006/main" count="393" uniqueCount="328">
  <si>
    <r>
      <rPr>
        <b val="true"/>
        <sz val="14"/>
        <color rgb="FF1F4E78"/>
        <rFont val="DejaVu Sans"/>
        <family val="2"/>
      </rPr>
      <t xml:space="preserve">再鼎医药 </t>
    </r>
    <r>
      <rPr>
        <b val="true"/>
        <sz val="14"/>
        <color rgb="FF1F4E78"/>
        <rFont val="Arial"/>
        <family val="0"/>
        <charset val="1"/>
      </rPr>
      <t xml:space="preserve">(9688.HK / ZLAB.US) </t>
    </r>
    <r>
      <rPr>
        <b val="true"/>
        <sz val="14"/>
        <color rgb="FF1F4E78"/>
        <rFont val="DejaVu Sans"/>
        <family val="2"/>
      </rPr>
      <t xml:space="preserve">管理层指引兑现情况分析</t>
    </r>
  </si>
  <si>
    <r>
      <rPr>
        <i val="true"/>
        <sz val="10"/>
        <color rgb="FF595959"/>
        <rFont val="DejaVu Sans"/>
        <family val="2"/>
      </rPr>
      <t xml:space="preserve">覆盖期间：</t>
    </r>
    <r>
      <rPr>
        <i val="true"/>
        <sz val="10"/>
        <color rgb="FF595959"/>
        <rFont val="Arial"/>
        <family val="0"/>
        <charset val="1"/>
      </rPr>
      <t xml:space="preserve">2020</t>
    </r>
    <r>
      <rPr>
        <i val="true"/>
        <sz val="10"/>
        <color rgb="FF595959"/>
        <rFont val="DejaVu Sans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DejaVu Sans"/>
        <family val="2"/>
      </rPr>
      <t xml:space="preserve">月港股二次上市 </t>
    </r>
    <r>
      <rPr>
        <i val="true"/>
        <sz val="10"/>
        <color rgb="FF595959"/>
        <rFont val="Arial"/>
        <family val="0"/>
        <charset val="1"/>
      </rPr>
      <t xml:space="preserve">~ 2025</t>
    </r>
    <r>
      <rPr>
        <i val="true"/>
        <sz val="10"/>
        <color rgb="FF595959"/>
        <rFont val="DejaVu Sans"/>
        <family val="2"/>
      </rPr>
      <t xml:space="preserve">年全年财报（</t>
    </r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DejaVu Sans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2</t>
    </r>
    <r>
      <rPr>
        <i val="true"/>
        <sz val="10"/>
        <color rgb="FF595959"/>
        <rFont val="DejaVu Sans"/>
        <family val="2"/>
      </rPr>
      <t xml:space="preserve">月披露）</t>
    </r>
  </si>
  <si>
    <t xml:space="preserve">■ 核心结论</t>
  </si>
  <si>
    <t xml:space="preserve">维度</t>
  </si>
  <si>
    <t xml:space="preserve">指引项数</t>
  </si>
  <si>
    <t xml:space="preserve">达成</t>
  </si>
  <si>
    <r>
      <rPr>
        <b val="true"/>
        <sz val="11"/>
        <color rgb="FFFFFFFF"/>
        <rFont val="Arial"/>
        <family val="0"/>
        <charset val="1"/>
      </rPr>
      <t xml:space="preserve">Miss/</t>
    </r>
    <r>
      <rPr>
        <b val="true"/>
        <sz val="11"/>
        <color rgb="FFFFFFFF"/>
        <rFont val="DejaVu Sans"/>
        <family val="2"/>
      </rPr>
      <t xml:space="preserve">未达</t>
    </r>
  </si>
  <si>
    <r>
      <rPr>
        <b val="true"/>
        <sz val="11"/>
        <color rgb="FFFFFFFF"/>
        <rFont val="DejaVu Sans"/>
        <family val="2"/>
      </rPr>
      <t xml:space="preserve">调整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下调</t>
    </r>
  </si>
  <si>
    <r>
      <rPr>
        <b val="true"/>
        <sz val="11"/>
        <color rgb="FFFFFFFF"/>
        <rFont val="Arial"/>
        <family val="0"/>
        <charset val="1"/>
      </rPr>
      <t xml:space="preserve">Miss</t>
    </r>
    <r>
      <rPr>
        <b val="true"/>
        <sz val="11"/>
        <color rgb="FFFFFFFF"/>
        <rFont val="DejaVu Sans"/>
        <family val="2"/>
      </rPr>
      <t xml:space="preserve">率</t>
    </r>
  </si>
  <si>
    <r>
      <rPr>
        <sz val="10"/>
        <rFont val="DejaVu Sans"/>
        <family val="2"/>
      </rPr>
      <t xml:space="preserve">全年营收指引（</t>
    </r>
    <r>
      <rPr>
        <sz val="10"/>
        <rFont val="Arial"/>
        <family val="0"/>
        <charset val="1"/>
      </rPr>
      <t xml:space="preserve">FY-level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</si>
  <si>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盈利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盈亏平衡时间表</t>
    </r>
  </si>
  <si>
    <t xml:space="preserve">重点产品销售指引</t>
  </si>
  <si>
    <r>
      <rPr>
        <sz val="10"/>
        <rFont val="DejaVu Sans"/>
        <family val="2"/>
      </rPr>
      <t xml:space="preserve">里程碑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管线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审批</t>
    </r>
  </si>
  <si>
    <r>
      <rPr>
        <sz val="10"/>
        <rFont val="DejaVu Sans"/>
        <family val="2"/>
      </rPr>
      <t xml:space="preserve">长期战略目标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产品数</t>
    </r>
    <r>
      <rPr>
        <sz val="10"/>
        <rFont val="Arial"/>
        <family val="0"/>
        <charset val="1"/>
      </rPr>
      <t xml:space="preserve">/CAGR/</t>
    </r>
    <r>
      <rPr>
        <sz val="10"/>
        <rFont val="DejaVu Sans"/>
        <family val="2"/>
      </rPr>
      <t xml:space="preserve">收入</t>
    </r>
    <r>
      <rPr>
        <sz val="10"/>
        <rFont val="Arial"/>
        <family val="0"/>
        <charset val="1"/>
      </rPr>
      <t xml:space="preserve">)</t>
    </r>
  </si>
  <si>
    <t xml:space="preserve">合计</t>
  </si>
  <si>
    <r>
      <rPr>
        <b val="true"/>
        <sz val="10"/>
        <rFont val="DejaVu Sans"/>
        <family val="2"/>
      </rPr>
      <t xml:space="preserve">■ 主要 </t>
    </r>
    <r>
      <rPr>
        <b val="true"/>
        <sz val="10"/>
        <rFont val="Arial"/>
        <family val="0"/>
        <charset val="1"/>
      </rPr>
      <t xml:space="preserve">Miss </t>
    </r>
    <r>
      <rPr>
        <b val="true"/>
        <sz val="10"/>
        <rFont val="DejaVu Sans"/>
        <family val="2"/>
      </rPr>
      <t xml:space="preserve">一览（详见后续工作表）</t>
    </r>
  </si>
  <si>
    <r>
      <rPr>
        <b val="true"/>
        <sz val="11"/>
        <color rgb="FFFFFFFF"/>
        <rFont val="Arial"/>
        <family val="0"/>
        <charset val="1"/>
      </rPr>
      <t xml:space="preserve">Miss </t>
    </r>
    <r>
      <rPr>
        <b val="true"/>
        <sz val="11"/>
        <color rgb="FFFFFFFF"/>
        <rFont val="DejaVu Sans"/>
        <family val="2"/>
      </rPr>
      <t xml:space="preserve">项</t>
    </r>
  </si>
  <si>
    <t xml:space="preserve">提出时间</t>
  </si>
  <si>
    <t xml:space="preserve">原指引</t>
  </si>
  <si>
    <t xml:space="preserve">实际结果</t>
  </si>
  <si>
    <t xml:space="preserve">偏差</t>
  </si>
  <si>
    <t xml:space="preserve">性质</t>
  </si>
  <si>
    <r>
      <rPr>
        <sz val="10"/>
        <rFont val="Arial"/>
        <family val="0"/>
        <charset val="1"/>
      </rPr>
      <t xml:space="preserve">FY2025 </t>
    </r>
    <r>
      <rPr>
        <sz val="10"/>
        <rFont val="DejaVu Sans"/>
        <family val="2"/>
      </rPr>
      <t xml:space="preserve">总收入指引</t>
    </r>
  </si>
  <si>
    <r>
      <rPr>
        <sz val="10"/>
        <rFont val="Arial"/>
        <family val="0"/>
        <charset val="1"/>
      </rPr>
      <t xml:space="preserve">2025-02 </t>
    </r>
    <r>
      <rPr>
        <sz val="10"/>
        <rFont val="DejaVu Sans"/>
        <family val="2"/>
      </rPr>
      <t xml:space="preserve">业绩会</t>
    </r>
  </si>
  <si>
    <r>
      <rPr>
        <sz val="10"/>
        <rFont val="Arial"/>
        <family val="0"/>
        <charset val="1"/>
      </rPr>
      <t xml:space="preserve">$5.60-5.90 </t>
    </r>
    <r>
      <rPr>
        <sz val="10"/>
        <rFont val="DejaVu Sans"/>
        <family val="2"/>
      </rPr>
      <t xml:space="preserve">亿美元</t>
    </r>
  </si>
  <si>
    <r>
      <rPr>
        <sz val="10"/>
        <rFont val="Arial"/>
        <family val="0"/>
        <charset val="1"/>
      </rPr>
      <t xml:space="preserve">$4.60 </t>
    </r>
    <r>
      <rPr>
        <sz val="10"/>
        <rFont val="DejaVu Sans"/>
        <family val="2"/>
      </rPr>
      <t xml:space="preserve">亿美元</t>
    </r>
  </si>
  <si>
    <r>
      <rPr>
        <sz val="10"/>
        <rFont val="DejaVu Sans"/>
        <family val="2"/>
      </rPr>
      <t xml:space="preserve">较中位数 </t>
    </r>
    <r>
      <rPr>
        <sz val="10"/>
        <rFont val="Arial"/>
        <family val="0"/>
        <charset val="1"/>
      </rPr>
      <t xml:space="preserve">-20%</t>
    </r>
  </si>
  <si>
    <r>
      <rPr>
        <sz val="10"/>
        <rFont val="DejaVu Sans"/>
        <family val="2"/>
      </rPr>
      <t xml:space="preserve">数值未达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公司在 </t>
    </r>
    <r>
      <rPr>
        <sz val="10"/>
        <rFont val="Arial"/>
        <family val="0"/>
        <charset val="1"/>
      </rPr>
      <t xml:space="preserve">Q3 </t>
    </r>
    <r>
      <rPr>
        <sz val="10"/>
        <rFont val="DejaVu Sans"/>
        <family val="2"/>
      </rPr>
      <t xml:space="preserve">主动下调至「至少 </t>
    </r>
    <r>
      <rPr>
        <sz val="10"/>
        <rFont val="Arial"/>
        <family val="0"/>
        <charset val="1"/>
      </rPr>
      <t xml:space="preserve">4.60 </t>
    </r>
    <r>
      <rPr>
        <sz val="10"/>
        <rFont val="DejaVu Sans"/>
        <family val="2"/>
      </rPr>
      <t xml:space="preserve">亿美元」</t>
    </r>
  </si>
  <si>
    <r>
      <rPr>
        <sz val="10"/>
        <rFont val="Arial"/>
        <family val="0"/>
        <charset val="1"/>
      </rPr>
      <t xml:space="preserve">FY2025 Q4 </t>
    </r>
    <r>
      <rPr>
        <sz val="10"/>
        <rFont val="DejaVu Sans"/>
        <family val="2"/>
      </rPr>
      <t xml:space="preserve">实现 </t>
    </r>
    <r>
      <rPr>
        <sz val="10"/>
        <rFont val="Arial"/>
        <family val="0"/>
        <charset val="1"/>
      </rPr>
      <t xml:space="preserve">non-GAAP </t>
    </r>
    <r>
      <rPr>
        <sz val="10"/>
        <rFont val="DejaVu Sans"/>
        <family val="2"/>
      </rPr>
      <t xml:space="preserve">经营盈利</t>
    </r>
  </si>
  <si>
    <r>
      <rPr>
        <sz val="10"/>
        <rFont val="Arial"/>
        <family val="0"/>
        <charset val="1"/>
      </rPr>
      <t xml:space="preserve">2024-02 </t>
    </r>
    <r>
      <rPr>
        <sz val="10"/>
        <rFont val="DejaVu Sans"/>
        <family val="2"/>
      </rPr>
      <t xml:space="preserve">起多次重申</t>
    </r>
  </si>
  <si>
    <r>
      <rPr>
        <sz val="10"/>
        <rFont val="Arial"/>
        <family val="0"/>
        <charset val="1"/>
      </rPr>
      <t xml:space="preserve">Q4'25 </t>
    </r>
    <r>
      <rPr>
        <sz val="10"/>
        <rFont val="DejaVu Sans"/>
        <family val="2"/>
      </rPr>
      <t xml:space="preserve">实现非美国会计准则经营盈利</t>
    </r>
  </si>
  <si>
    <r>
      <rPr>
        <sz val="10"/>
        <rFont val="Arial"/>
        <family val="0"/>
        <charset val="1"/>
      </rPr>
      <t xml:space="preserve">Q4'25 </t>
    </r>
    <r>
      <rPr>
        <sz val="10"/>
        <rFont val="DejaVu Sans"/>
        <family val="2"/>
      </rPr>
      <t xml:space="preserve">调整后经营亏损 </t>
    </r>
    <r>
      <rPr>
        <sz val="10"/>
        <rFont val="Arial"/>
        <family val="0"/>
        <charset val="1"/>
      </rPr>
      <t xml:space="preserve">4,960 </t>
    </r>
    <r>
      <rPr>
        <sz val="10"/>
        <rFont val="DejaVu Sans"/>
        <family val="2"/>
      </rPr>
      <t xml:space="preserve">万美元</t>
    </r>
  </si>
  <si>
    <t xml:space="preserve">目标未达成</t>
  </si>
  <si>
    <t xml:space="preserve">盈亏平衡再次推迟（已是第二次）</t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</si>
  <si>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年拥有 ≥</t>
    </r>
    <r>
      <rPr>
        <sz val="10"/>
        <rFont val="Arial"/>
        <family val="0"/>
        <charset val="1"/>
      </rPr>
      <t xml:space="preserve">15 </t>
    </r>
    <r>
      <rPr>
        <sz val="10"/>
        <rFont val="DejaVu Sans"/>
        <family val="2"/>
      </rPr>
      <t xml:space="preserve">款上市产品</t>
    </r>
  </si>
  <si>
    <r>
      <rPr>
        <sz val="10"/>
        <rFont val="Arial"/>
        <family val="0"/>
        <charset val="1"/>
      </rPr>
      <t xml:space="preserve">2021 </t>
    </r>
    <r>
      <rPr>
        <sz val="10"/>
        <rFont val="DejaVu Sans"/>
        <family val="2"/>
      </rPr>
      <t xml:space="preserve">年上市路演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杜莹博士多次表态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</si>
  <si>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年拥有 ≥</t>
    </r>
    <r>
      <rPr>
        <sz val="10"/>
        <rFont val="Arial"/>
        <family val="0"/>
        <charset val="1"/>
      </rPr>
      <t xml:space="preserve">15 </t>
    </r>
    <r>
      <rPr>
        <sz val="10"/>
        <rFont val="DejaVu Sans"/>
        <family val="2"/>
      </rPr>
      <t xml:space="preserve">款上市产品 </t>
    </r>
    <r>
      <rPr>
        <sz val="10"/>
        <rFont val="Arial"/>
        <family val="0"/>
        <charset val="1"/>
      </rPr>
      <t xml:space="preserve">/ 30+ </t>
    </r>
    <r>
      <rPr>
        <sz val="10"/>
        <rFont val="DejaVu Sans"/>
        <family val="2"/>
      </rPr>
      <t xml:space="preserve">适应证</t>
    </r>
  </si>
  <si>
    <r>
      <rPr>
        <sz val="10"/>
        <rFont val="DejaVu Sans"/>
        <family val="2"/>
      </rPr>
      <t xml:space="preserve">至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年末仅 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款（含 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月底获批的 </t>
    </r>
    <r>
      <rPr>
        <sz val="10"/>
        <rFont val="Arial"/>
        <family val="0"/>
        <charset val="1"/>
      </rPr>
      <t xml:space="preserve">KarXT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</si>
  <si>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缺口 </t>
    </r>
    <r>
      <rPr>
        <sz val="10"/>
        <rFont val="Arial"/>
        <family val="0"/>
        <charset val="1"/>
      </rPr>
      <t xml:space="preserve">~ 7 </t>
    </r>
    <r>
      <rPr>
        <sz val="10"/>
        <rFont val="DejaVu Sans"/>
        <family val="2"/>
      </rPr>
      <t xml:space="preserve">款</t>
    </r>
  </si>
  <si>
    <r>
      <rPr>
        <sz val="10"/>
        <rFont val="DejaVu Sans"/>
        <family val="2"/>
      </rPr>
      <t xml:space="preserve">战略目标推迟至 </t>
    </r>
    <r>
      <rPr>
        <sz val="10"/>
        <rFont val="Arial"/>
        <family val="0"/>
        <charset val="1"/>
      </rPr>
      <t xml:space="preserve">2028 </t>
    </r>
    <r>
      <rPr>
        <sz val="10"/>
        <rFont val="DejaVu Sans"/>
        <family val="2"/>
      </rPr>
      <t xml:space="preserve">年</t>
    </r>
  </si>
  <si>
    <r>
      <rPr>
        <sz val="10"/>
        <rFont val="Arial"/>
        <family val="0"/>
        <charset val="1"/>
      </rPr>
      <t xml:space="preserve">2023-2028 </t>
    </r>
    <r>
      <rPr>
        <sz val="10"/>
        <rFont val="DejaVu Sans"/>
        <family val="2"/>
      </rPr>
      <t xml:space="preserve">收入 </t>
    </r>
    <r>
      <rPr>
        <sz val="10"/>
        <rFont val="Arial"/>
        <family val="0"/>
        <charset val="1"/>
      </rPr>
      <t xml:space="preserve">CAGR ≥ 50%</t>
    </r>
  </si>
  <si>
    <r>
      <rPr>
        <sz val="10"/>
        <rFont val="Arial"/>
        <family val="0"/>
        <charset val="1"/>
      </rPr>
      <t xml:space="preserve">2023 </t>
    </r>
    <r>
      <rPr>
        <sz val="10"/>
        <rFont val="DejaVu Sans"/>
        <family val="2"/>
      </rPr>
      <t xml:space="preserve">年报业绩会</t>
    </r>
  </si>
  <si>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年复合增速 ≥ </t>
    </r>
    <r>
      <rPr>
        <sz val="10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</si>
  <si>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2024:+50% ✓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2025:+15%</t>
    </r>
    <r>
      <rPr>
        <sz val="10"/>
        <rFont val="DejaVu Sans"/>
        <family val="2"/>
      </rPr>
      <t xml:space="preserve">（未达）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</si>
  <si>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年增速断崖</t>
    </r>
  </si>
  <si>
    <r>
      <rPr>
        <sz val="10"/>
        <rFont val="DejaVu Sans"/>
        <family val="2"/>
      </rPr>
      <t xml:space="preserve">若维持目标，</t>
    </r>
    <r>
      <rPr>
        <sz val="10"/>
        <rFont val="Arial"/>
        <family val="0"/>
        <charset val="1"/>
      </rPr>
      <t xml:space="preserve">2026-2028 </t>
    </r>
    <r>
      <rPr>
        <sz val="10"/>
        <rFont val="DejaVu Sans"/>
        <family val="2"/>
      </rPr>
      <t xml:space="preserve">年需 </t>
    </r>
    <r>
      <rPr>
        <sz val="10"/>
        <rFont val="Arial"/>
        <family val="0"/>
        <charset val="1"/>
      </rPr>
      <t xml:space="preserve">60%+ </t>
    </r>
    <r>
      <rPr>
        <sz val="10"/>
        <rFont val="DejaVu Sans"/>
        <family val="2"/>
      </rPr>
      <t xml:space="preserve">复合增长</t>
    </r>
  </si>
  <si>
    <r>
      <rPr>
        <sz val="10"/>
        <rFont val="Arial"/>
        <family val="0"/>
        <charset val="1"/>
      </rPr>
      <t xml:space="preserve">2030 </t>
    </r>
    <r>
      <rPr>
        <sz val="10"/>
        <rFont val="DejaVu Sans"/>
        <family val="2"/>
      </rPr>
      <t xml:space="preserve">年肺癌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消化道管线峰值收入 </t>
    </r>
    <r>
      <rPr>
        <sz val="10"/>
        <rFont val="Arial"/>
        <family val="0"/>
        <charset val="1"/>
      </rPr>
      <t xml:space="preserve">25-30 </t>
    </r>
    <r>
      <rPr>
        <sz val="10"/>
        <rFont val="DejaVu Sans"/>
        <family val="2"/>
      </rPr>
      <t xml:space="preserve">亿美元</t>
    </r>
  </si>
  <si>
    <r>
      <rPr>
        <sz val="10"/>
        <rFont val="Arial"/>
        <family val="0"/>
        <charset val="1"/>
      </rPr>
      <t xml:space="preserve">2021 </t>
    </r>
    <r>
      <rPr>
        <sz val="10"/>
        <rFont val="DejaVu Sans"/>
        <family val="2"/>
      </rPr>
      <t xml:space="preserve">年报</t>
    </r>
  </si>
  <si>
    <r>
      <rPr>
        <sz val="10"/>
        <rFont val="DejaVu Sans"/>
        <family val="2"/>
      </rPr>
      <t xml:space="preserve">肺癌</t>
    </r>
    <r>
      <rPr>
        <sz val="10"/>
        <rFont val="Arial"/>
        <family val="0"/>
        <charset val="1"/>
      </rPr>
      <t xml:space="preserve">+GI </t>
    </r>
    <r>
      <rPr>
        <sz val="10"/>
        <rFont val="DejaVu Sans"/>
        <family val="2"/>
      </rPr>
      <t xml:space="preserve">管线 </t>
    </r>
    <r>
      <rPr>
        <sz val="10"/>
        <rFont val="Arial"/>
        <family val="0"/>
        <charset val="1"/>
      </rPr>
      <t xml:space="preserve">2030 </t>
    </r>
    <r>
      <rPr>
        <sz val="10"/>
        <rFont val="DejaVu Sans"/>
        <family val="2"/>
      </rPr>
      <t xml:space="preserve">年峰值收入 </t>
    </r>
    <r>
      <rPr>
        <sz val="10"/>
        <rFont val="Arial"/>
        <family val="0"/>
        <charset val="1"/>
      </rPr>
      <t xml:space="preserve">$2.5-3.0B</t>
    </r>
  </si>
  <si>
    <t xml:space="preserve">尚未到考核期</t>
  </si>
  <si>
    <t xml:space="preserve">—</t>
  </si>
  <si>
    <r>
      <rPr>
        <sz val="10"/>
        <rFont val="DejaVu Sans"/>
        <family val="2"/>
      </rPr>
      <t xml:space="preserve">进度落后（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年总收入仅 </t>
    </r>
    <r>
      <rPr>
        <sz val="10"/>
        <rFont val="Arial"/>
        <family val="0"/>
        <charset val="1"/>
      </rPr>
      <t xml:space="preserve">$0.46B</t>
    </r>
    <r>
      <rPr>
        <sz val="10"/>
        <rFont val="DejaVu Sans"/>
        <family val="2"/>
      </rPr>
      <t xml:space="preserve">，需 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年内 </t>
    </r>
    <r>
      <rPr>
        <sz val="10"/>
        <rFont val="Arial"/>
        <family val="0"/>
        <charset val="1"/>
      </rPr>
      <t xml:space="preserve">6-7 </t>
    </r>
    <r>
      <rPr>
        <sz val="10"/>
        <rFont val="DejaVu Sans"/>
        <family val="2"/>
      </rPr>
      <t xml:space="preserve">倍增长）</t>
    </r>
  </si>
  <si>
    <r>
      <rPr>
        <sz val="10"/>
        <rFont val="Arial"/>
        <family val="0"/>
        <charset val="1"/>
      </rPr>
      <t xml:space="preserve">VYVGART 2024 </t>
    </r>
    <r>
      <rPr>
        <sz val="10"/>
        <rFont val="DejaVu Sans"/>
        <family val="2"/>
      </rPr>
      <t xml:space="preserve">全年销售（年初指引）</t>
    </r>
  </si>
  <si>
    <r>
      <rPr>
        <sz val="10"/>
        <rFont val="Arial"/>
        <family val="0"/>
        <charset val="1"/>
      </rPr>
      <t xml:space="preserve">2024-02 </t>
    </r>
    <r>
      <rPr>
        <sz val="10"/>
        <rFont val="DejaVu Sans"/>
        <family val="2"/>
      </rPr>
      <t xml:space="preserve">业绩会</t>
    </r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</si>
  <si>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&gt;$70 </t>
    </r>
    <r>
      <rPr>
        <sz val="10"/>
        <rFont val="DejaVu Sans"/>
        <family val="2"/>
      </rPr>
      <t xml:space="preserve">百万」（</t>
    </r>
    <r>
      <rPr>
        <sz val="10"/>
        <rFont val="Arial"/>
        <family val="0"/>
        <charset val="1"/>
      </rPr>
      <t xml:space="preserve">Q2 </t>
    </r>
    <r>
      <rPr>
        <sz val="10"/>
        <rFont val="DejaVu Sans"/>
        <family val="2"/>
      </rPr>
      <t xml:space="preserve">上调至 </t>
    </r>
    <r>
      <rPr>
        <sz val="10"/>
        <rFont val="Arial"/>
        <family val="0"/>
        <charset val="1"/>
      </rPr>
      <t xml:space="preserve">&gt;$80M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</si>
  <si>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$93.6 </t>
    </r>
    <r>
      <rPr>
        <sz val="10"/>
        <rFont val="DejaVu Sans"/>
        <family val="2"/>
      </rPr>
      <t xml:space="preserve">百万</t>
    </r>
  </si>
  <si>
    <t xml:space="preserve">+34% / +17%</t>
  </si>
  <si>
    <r>
      <rPr>
        <sz val="10"/>
        <rFont val="Arial"/>
        <family val="0"/>
        <charset val="1"/>
      </rPr>
      <t xml:space="preserve">Beat</t>
    </r>
    <r>
      <rPr>
        <sz val="10"/>
        <rFont val="DejaVu Sans"/>
        <family val="2"/>
      </rPr>
      <t xml:space="preserve">（与上述 </t>
    </r>
    <r>
      <rPr>
        <sz val="10"/>
        <rFont val="Arial"/>
        <family val="0"/>
        <charset val="1"/>
      </rPr>
      <t xml:space="preserve">Miss </t>
    </r>
    <r>
      <rPr>
        <sz val="10"/>
        <rFont val="DejaVu Sans"/>
        <family val="2"/>
      </rPr>
      <t xml:space="preserve">形成对比）</t>
    </r>
  </si>
  <si>
    <t xml:space="preserve">■ 颜色图例</t>
  </si>
  <si>
    <r>
      <rPr>
        <sz val="10"/>
        <rFont val="Arial"/>
        <family val="0"/>
        <charset val="1"/>
      </rPr>
      <t xml:space="preserve">Miss / </t>
    </r>
    <r>
      <rPr>
        <sz val="10"/>
        <rFont val="DejaVu Sans"/>
        <family val="2"/>
      </rPr>
      <t xml:space="preserve">未达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主动下调</t>
    </r>
  </si>
  <si>
    <r>
      <rPr>
        <sz val="10"/>
        <rFont val="Arial"/>
        <family val="0"/>
        <charset val="1"/>
      </rPr>
      <t xml:space="preserve">Beat / </t>
    </r>
    <r>
      <rPr>
        <sz val="10"/>
        <rFont val="DejaVu Sans"/>
        <family val="2"/>
      </rPr>
      <t xml:space="preserve">超预期</t>
    </r>
  </si>
  <si>
    <r>
      <rPr>
        <sz val="10"/>
        <rFont val="DejaVu Sans"/>
        <family val="2"/>
      </rPr>
      <t xml:space="preserve">基本达成 </t>
    </r>
    <r>
      <rPr>
        <sz val="10"/>
        <rFont val="Arial"/>
        <family val="0"/>
        <charset val="1"/>
      </rPr>
      <t xml:space="preserve">/ In line</t>
    </r>
  </si>
  <si>
    <r>
      <rPr>
        <sz val="10"/>
        <rFont val="DejaVu Sans"/>
        <family val="2"/>
      </rPr>
      <t xml:space="preserve">尚未到期 </t>
    </r>
    <r>
      <rPr>
        <sz val="10"/>
        <rFont val="Arial"/>
        <family val="0"/>
        <charset val="1"/>
      </rPr>
      <t xml:space="preserve">/ Pending</t>
    </r>
  </si>
  <si>
    <t xml:space="preserve">■ 数据来源说明</t>
  </si>
  <si>
    <r>
      <rPr>
        <sz val="9"/>
        <color rgb="FF595959"/>
        <rFont val="Arial"/>
        <family val="0"/>
        <charset val="1"/>
      </rPr>
      <t xml:space="preserve">1) </t>
    </r>
    <r>
      <rPr>
        <sz val="9"/>
        <color rgb="FF595959"/>
        <rFont val="DejaVu Sans"/>
        <family val="2"/>
      </rPr>
      <t xml:space="preserve">公司每季度业绩公告（</t>
    </r>
    <r>
      <rPr>
        <sz val="9"/>
        <color rgb="FF595959"/>
        <rFont val="Arial"/>
        <family val="0"/>
        <charset val="1"/>
      </rPr>
      <t xml:space="preserve">zailab.gcs-web.com / ir.zailaboratory.com</t>
    </r>
    <r>
      <rPr>
        <sz val="9"/>
        <color rgb="FF595959"/>
        <rFont val="DejaVu Sans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</si>
  <si>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2) </t>
    </r>
    <r>
      <rPr>
        <sz val="9"/>
        <color rgb="FF595959"/>
        <rFont val="DejaVu Sans"/>
        <family val="2"/>
      </rPr>
      <t xml:space="preserve">香港联交所 </t>
    </r>
    <r>
      <rPr>
        <sz val="9"/>
        <color rgb="FF595959"/>
        <rFont val="Arial"/>
        <family val="0"/>
        <charset val="1"/>
      </rPr>
      <t xml:space="preserve">/ SEC EDGAR </t>
    </r>
    <r>
      <rPr>
        <sz val="9"/>
        <color rgb="FF595959"/>
        <rFont val="DejaVu Sans"/>
        <family val="2"/>
      </rPr>
      <t xml:space="preserve">披露文件（年报 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DejaVu Sans"/>
        <family val="2"/>
      </rPr>
      <t xml:space="preserve">、半年报、季度业绩）</t>
    </r>
  </si>
  <si>
    <r>
      <rPr>
        <sz val="9"/>
        <color rgb="FF595959"/>
        <rFont val="Arial"/>
        <family val="0"/>
        <charset val="1"/>
      </rPr>
      <t xml:space="preserve">3) JPM </t>
    </r>
    <r>
      <rPr>
        <sz val="9"/>
        <color rgb="FF595959"/>
        <rFont val="DejaVu Sans"/>
        <family val="2"/>
      </rPr>
      <t xml:space="preserve">医疗大会公司演讲（</t>
    </r>
    <r>
      <rPr>
        <sz val="9"/>
        <color rgb="FF595959"/>
        <rFont val="Arial"/>
        <family val="0"/>
        <charset val="1"/>
      </rPr>
      <t xml:space="preserve">2021-2025</t>
    </r>
    <r>
      <rPr>
        <sz val="9"/>
        <color rgb="FF595959"/>
        <rFont val="DejaVu Sans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</si>
  <si>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4) </t>
    </r>
    <r>
      <rPr>
        <sz val="9"/>
        <color rgb="FF595959"/>
        <rFont val="DejaVu Sans"/>
        <family val="2"/>
      </rPr>
      <t xml:space="preserve">公司新闻稿与业绩电话会要点（</t>
    </r>
    <r>
      <rPr>
        <sz val="9"/>
        <color rgb="FF595959"/>
        <rFont val="Arial"/>
        <family val="0"/>
        <charset val="1"/>
      </rPr>
      <t xml:space="preserve">Seeking Alpha</t>
    </r>
    <r>
      <rPr>
        <sz val="9"/>
        <color rgb="FF595959"/>
        <rFont val="DejaVu Sans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Insider Monkey</t>
    </r>
    <r>
      <rPr>
        <sz val="9"/>
        <color rgb="FF595959"/>
        <rFont val="DejaVu Sans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Business Wire </t>
    </r>
    <r>
      <rPr>
        <sz val="9"/>
        <color rgb="FF595959"/>
        <rFont val="DejaVu Sans"/>
        <family val="2"/>
      </rPr>
      <t xml:space="preserve">转载）</t>
    </r>
  </si>
  <si>
    <r>
      <rPr>
        <sz val="9"/>
        <color rgb="FF595959"/>
        <rFont val="Arial"/>
        <family val="0"/>
        <charset val="1"/>
      </rPr>
      <t xml:space="preserve">5) </t>
    </r>
    <r>
      <rPr>
        <sz val="9"/>
        <color rgb="FF595959"/>
        <rFont val="DejaVu Sans"/>
        <family val="2"/>
      </rPr>
      <t xml:space="preserve">第三方券商研究报告（浦银国际、海通国际、招商证券、</t>
    </r>
    <r>
      <rPr>
        <sz val="9"/>
        <color rgb="FF595959"/>
        <rFont val="Arial"/>
        <family val="0"/>
        <charset val="1"/>
      </rPr>
      <t xml:space="preserve">Broad Investment Securities </t>
    </r>
    <r>
      <rPr>
        <sz val="9"/>
        <color rgb="FF595959"/>
        <rFont val="DejaVu Sans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</si>
  <si>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6) </t>
    </r>
    <r>
      <rPr>
        <sz val="9"/>
        <color rgb="FF595959"/>
        <rFont val="DejaVu Sans"/>
        <family val="2"/>
      </rPr>
      <t xml:space="preserve">财经媒体复盘（新浪财经、医药魔方、第一财经、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DejaVu Sans"/>
        <family val="2"/>
      </rPr>
      <t xml:space="preserve">氪、腾讯新闻、</t>
    </r>
    <r>
      <rPr>
        <sz val="9"/>
        <color rgb="FF595959"/>
        <rFont val="Arial"/>
        <family val="0"/>
        <charset val="1"/>
      </rPr>
      <t xml:space="preserve">phirda </t>
    </r>
    <r>
      <rPr>
        <sz val="9"/>
        <color rgb="FF595959"/>
        <rFont val="DejaVu Sans"/>
        <family val="2"/>
      </rPr>
      <t xml:space="preserve">等）</t>
    </r>
  </si>
  <si>
    <r>
      <rPr>
        <sz val="9"/>
        <color rgb="FF595959"/>
        <rFont val="DejaVu Sans"/>
        <family val="2"/>
      </rPr>
      <t xml:space="preserve">注：早期（</t>
    </r>
    <r>
      <rPr>
        <sz val="9"/>
        <color rgb="FF595959"/>
        <rFont val="Arial"/>
        <family val="0"/>
        <charset val="1"/>
      </rPr>
      <t xml:space="preserve">2020-2021</t>
    </r>
    <r>
      <rPr>
        <sz val="9"/>
        <color rgb="FF595959"/>
        <rFont val="DejaVu Sans"/>
        <family val="2"/>
      </rPr>
      <t xml:space="preserve">）公司较少给出明确数值型营收指引，以「定性目标」（产品数、盈利时间表）为主；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DejaVu Sans"/>
        <family val="2"/>
      </rPr>
      <t xml:space="preserve">年起开始给出具体美元区间。</t>
    </r>
  </si>
  <si>
    <r>
      <rPr>
        <b val="true"/>
        <sz val="14"/>
        <color rgb="FF1F4E78"/>
        <rFont val="Arial"/>
        <family val="0"/>
        <charset val="1"/>
      </rPr>
      <t xml:space="preserve">Zai Lab — </t>
    </r>
    <r>
      <rPr>
        <b val="true"/>
        <sz val="14"/>
        <color rgb="FF1F4E78"/>
        <rFont val="DejaVu Sans"/>
        <family val="2"/>
      </rPr>
      <t xml:space="preserve">全年营收指引 </t>
    </r>
    <r>
      <rPr>
        <b val="true"/>
        <sz val="14"/>
        <color rgb="FF1F4E78"/>
        <rFont val="Arial"/>
        <family val="0"/>
        <charset val="1"/>
      </rPr>
      <t xml:space="preserve">vs </t>
    </r>
    <r>
      <rPr>
        <b val="true"/>
        <sz val="14"/>
        <color rgb="FF1F4E78"/>
        <rFont val="DejaVu Sans"/>
        <family val="2"/>
      </rPr>
      <t xml:space="preserve">实际兑现情况</t>
    </r>
  </si>
  <si>
    <t xml:space="preserve">财年</t>
  </si>
  <si>
    <t xml:space="preserve">指引发布时间</t>
  </si>
  <si>
    <r>
      <rPr>
        <b val="true"/>
        <sz val="11"/>
        <color rgb="FFFFFFFF"/>
        <rFont val="DejaVu Sans"/>
        <family val="2"/>
      </rPr>
      <t xml:space="preserve">指引内容（原文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译文）</t>
    </r>
  </si>
  <si>
    <r>
      <rPr>
        <b val="true"/>
        <sz val="11"/>
        <color rgb="FFFFFFFF"/>
        <rFont val="DejaVu Sans"/>
        <family val="2"/>
      </rPr>
      <t xml:space="preserve">实际结果（</t>
    </r>
    <r>
      <rPr>
        <b val="true"/>
        <sz val="11"/>
        <color rgb="FFFFFFFF"/>
        <rFont val="Arial"/>
        <family val="0"/>
        <charset val="1"/>
      </rPr>
      <t xml:space="preserve">USD </t>
    </r>
    <r>
      <rPr>
        <b val="true"/>
        <sz val="11"/>
        <color rgb="FFFFFFFF"/>
        <rFont val="DejaVu Sans"/>
        <family val="2"/>
      </rPr>
      <t xml:space="preserve">百万）</t>
    </r>
  </si>
  <si>
    <r>
      <rPr>
        <b val="true"/>
        <sz val="11"/>
        <color rgb="FFFFFFFF"/>
        <rFont val="Arial"/>
        <family val="0"/>
        <charset val="1"/>
      </rPr>
      <t xml:space="preserve">YoY </t>
    </r>
    <r>
      <rPr>
        <b val="true"/>
        <sz val="11"/>
        <color rgb="FFFFFFFF"/>
        <rFont val="DejaVu Sans"/>
        <family val="2"/>
      </rPr>
      <t xml:space="preserve">增速</t>
    </r>
  </si>
  <si>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DejaVu Sans"/>
        <family val="2"/>
      </rPr>
      <t xml:space="preserve">指引</t>
    </r>
  </si>
  <si>
    <t xml:space="preserve">结论</t>
  </si>
  <si>
    <t xml:space="preserve">数据来源</t>
  </si>
  <si>
    <t xml:space="preserve">FY2020</t>
  </si>
  <si>
    <r>
      <rPr>
        <sz val="10"/>
        <rFont val="DejaVu Sans"/>
        <family val="2"/>
      </rPr>
      <t xml:space="preserve">—（</t>
    </r>
    <r>
      <rPr>
        <sz val="10"/>
        <rFont val="Arial"/>
        <family val="0"/>
        <charset val="1"/>
      </rPr>
      <t xml:space="preserve">IPO</t>
    </r>
    <r>
      <rPr>
        <sz val="10"/>
        <rFont val="DejaVu Sans"/>
        <family val="2"/>
      </rPr>
      <t xml:space="preserve">首年，无明确数值指引）</t>
    </r>
  </si>
  <si>
    <t xml:space="preserve">公司未给出具体收入区间，定性指出「商业化加速、放量在即」</t>
  </si>
  <si>
    <r>
      <rPr>
        <sz val="10"/>
        <rFont val="Arial"/>
        <family val="0"/>
        <charset val="1"/>
      </rPr>
      <t xml:space="preserve">49 (</t>
    </r>
    <r>
      <rPr>
        <sz val="10"/>
        <rFont val="DejaVu Sans"/>
        <family val="2"/>
      </rPr>
      <t xml:space="preserve">产品</t>
    </r>
    <r>
      <rPr>
        <sz val="10"/>
        <rFont val="Arial"/>
        <family val="0"/>
        <charset val="1"/>
      </rPr>
      <t xml:space="preserve">)</t>
    </r>
  </si>
  <si>
    <t xml:space="preserve">+187%</t>
  </si>
  <si>
    <t xml:space="preserve">n/a</t>
  </si>
  <si>
    <r>
      <rPr>
        <sz val="10"/>
        <rFont val="DejaVu Sans"/>
        <family val="2"/>
      </rPr>
      <t xml:space="preserve">无量化指引（不计入 </t>
    </r>
    <r>
      <rPr>
        <sz val="10"/>
        <rFont val="Arial"/>
        <family val="0"/>
        <charset val="1"/>
      </rPr>
      <t xml:space="preserve">Miss/Beat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</si>
  <si>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2020 </t>
    </r>
    <r>
      <rPr>
        <sz val="10"/>
        <rFont val="DejaVu Sans"/>
        <family val="2"/>
      </rPr>
      <t xml:space="preserve">年报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招股书</t>
    </r>
  </si>
  <si>
    <t xml:space="preserve">FY2021</t>
  </si>
  <si>
    <r>
      <rPr>
        <sz val="10"/>
        <rFont val="Arial"/>
        <family val="0"/>
        <charset val="1"/>
      </rPr>
      <t xml:space="preserve">2021-03 </t>
    </r>
    <r>
      <rPr>
        <sz val="10"/>
        <rFont val="DejaVu Sans"/>
        <family val="2"/>
      </rPr>
      <t xml:space="preserve">业绩会</t>
    </r>
  </si>
  <si>
    <r>
      <rPr>
        <sz val="10"/>
        <rFont val="DejaVu Sans"/>
        <family val="2"/>
      </rPr>
      <t xml:space="preserve">未给出全年美元区间；定性「期待显著增长，则乐有望成为中国 </t>
    </r>
    <r>
      <rPr>
        <sz val="10"/>
        <rFont val="Arial"/>
        <family val="0"/>
        <charset val="1"/>
      </rPr>
      <t xml:space="preserve">PARP </t>
    </r>
    <r>
      <rPr>
        <sz val="10"/>
        <rFont val="DejaVu Sans"/>
        <family val="2"/>
      </rPr>
      <t xml:space="preserve">龙头」</t>
    </r>
  </si>
  <si>
    <r>
      <rPr>
        <sz val="10"/>
        <rFont val="Arial"/>
        <family val="0"/>
        <charset val="1"/>
      </rPr>
      <t xml:space="preserve">144.1 (</t>
    </r>
    <r>
      <rPr>
        <sz val="10"/>
        <rFont val="DejaVu Sans"/>
        <family val="2"/>
      </rPr>
      <t xml:space="preserve">产品</t>
    </r>
    <r>
      <rPr>
        <sz val="10"/>
        <rFont val="Arial"/>
        <family val="0"/>
        <charset val="1"/>
      </rPr>
      <t xml:space="preserve">)</t>
    </r>
  </si>
  <si>
    <t xml:space="preserve">+195%</t>
  </si>
  <si>
    <t xml:space="preserve">无量化营收指引（定性目标基本达成）</t>
  </si>
  <si>
    <t xml:space="preserve">FY2022</t>
  </si>
  <si>
    <r>
      <rPr>
        <sz val="10"/>
        <rFont val="Arial"/>
        <family val="0"/>
        <charset val="1"/>
      </rPr>
      <t xml:space="preserve">2022-03 </t>
    </r>
    <r>
      <rPr>
        <sz val="10"/>
        <rFont val="DejaVu Sans"/>
        <family val="2"/>
      </rPr>
      <t xml:space="preserve">业绩会</t>
    </r>
  </si>
  <si>
    <r>
      <rPr>
        <sz val="10"/>
        <rFont val="DejaVu Sans"/>
        <family val="2"/>
      </rPr>
      <t xml:space="preserve">未给具体区间；管理层「</t>
    </r>
    <r>
      <rPr>
        <sz val="10"/>
        <rFont val="Arial"/>
        <family val="0"/>
        <charset val="1"/>
      </rPr>
      <t xml:space="preserve">2022 </t>
    </r>
    <r>
      <rPr>
        <sz val="10"/>
        <rFont val="DejaVu Sans"/>
        <family val="2"/>
      </rPr>
      <t xml:space="preserve">年实现商业层面盈利」</t>
    </r>
  </si>
  <si>
    <r>
      <rPr>
        <sz val="10"/>
        <rFont val="Arial"/>
        <family val="0"/>
        <charset val="1"/>
      </rPr>
      <t xml:space="preserve">215.0 (</t>
    </r>
    <r>
      <rPr>
        <sz val="10"/>
        <rFont val="DejaVu Sans"/>
        <family val="2"/>
      </rPr>
      <t xml:space="preserve">总收入</t>
    </r>
    <r>
      <rPr>
        <sz val="10"/>
        <rFont val="Arial"/>
        <family val="0"/>
        <charset val="1"/>
      </rPr>
      <t xml:space="preserve">) / 145.2 (Zejula)</t>
    </r>
  </si>
  <si>
    <t xml:space="preserve">+49%</t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</si>
  <si>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（商业利润仍亏损）</t>
    </r>
  </si>
  <si>
    <r>
      <rPr>
        <sz val="10"/>
        <rFont val="Arial"/>
        <family val="0"/>
        <charset val="1"/>
      </rPr>
      <t xml:space="preserve">2022 </t>
    </r>
    <r>
      <rPr>
        <sz val="10"/>
        <rFont val="DejaVu Sans"/>
        <family val="2"/>
      </rPr>
      <t xml:space="preserve">年报</t>
    </r>
  </si>
  <si>
    <t xml:space="preserve">FY2023</t>
  </si>
  <si>
    <r>
      <rPr>
        <sz val="10"/>
        <rFont val="Arial"/>
        <family val="0"/>
        <charset val="1"/>
      </rPr>
      <t xml:space="preserve">2023-03 </t>
    </r>
    <r>
      <rPr>
        <sz val="10"/>
        <rFont val="DejaVu Sans"/>
        <family val="2"/>
      </rPr>
      <t xml:space="preserve">业绩会</t>
    </r>
  </si>
  <si>
    <r>
      <rPr>
        <sz val="10"/>
        <rFont val="DejaVu Sans"/>
        <family val="2"/>
      </rPr>
      <t xml:space="preserve">无具体美元营收指引；侧重「</t>
    </r>
    <r>
      <rPr>
        <sz val="10"/>
        <rFont val="Arial"/>
        <family val="0"/>
        <charset val="1"/>
      </rPr>
      <t xml:space="preserve">VYVGART </t>
    </r>
    <r>
      <rPr>
        <sz val="10"/>
        <rFont val="DejaVu Sans"/>
        <family val="2"/>
      </rPr>
      <t xml:space="preserve">上市」「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实现公司层面盈利」</t>
    </r>
  </si>
  <si>
    <r>
      <rPr>
        <sz val="10"/>
        <rFont val="Arial"/>
        <family val="0"/>
        <charset val="1"/>
      </rPr>
      <t xml:space="preserve">266.7 (</t>
    </r>
    <r>
      <rPr>
        <sz val="10"/>
        <rFont val="DejaVu Sans"/>
        <family val="2"/>
      </rPr>
      <t xml:space="preserve">产品</t>
    </r>
    <r>
      <rPr>
        <sz val="10"/>
        <rFont val="Arial"/>
        <family val="0"/>
        <charset val="1"/>
      </rPr>
      <t xml:space="preserve">)</t>
    </r>
  </si>
  <si>
    <t xml:space="preserve">+25% (CER +31%)</t>
  </si>
  <si>
    <r>
      <rPr>
        <sz val="10"/>
        <rFont val="DejaVu Sans"/>
        <family val="2"/>
      </rPr>
      <t xml:space="preserve">无具体区间，可视为定性 </t>
    </r>
    <r>
      <rPr>
        <sz val="10"/>
        <rFont val="Arial"/>
        <family val="0"/>
        <charset val="1"/>
      </rPr>
      <t xml:space="preserve">In line</t>
    </r>
  </si>
  <si>
    <r>
      <rPr>
        <sz val="10"/>
        <rFont val="Arial"/>
        <family val="0"/>
        <charset val="1"/>
      </rPr>
      <t xml:space="preserve">2023 </t>
    </r>
    <r>
      <rPr>
        <sz val="10"/>
        <rFont val="DejaVu Sans"/>
        <family val="2"/>
      </rPr>
      <t xml:space="preserve">年报</t>
    </r>
  </si>
  <si>
    <t xml:space="preserve">FY2024</t>
  </si>
  <si>
    <r>
      <rPr>
        <sz val="10"/>
        <rFont val="DejaVu Sans"/>
        <family val="2"/>
      </rPr>
      <t xml:space="preserve">管理层「期望 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年保持强劲增长，目标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年实现盈利」；</t>
    </r>
    <r>
      <rPr>
        <sz val="10"/>
        <rFont val="Arial"/>
        <family val="0"/>
        <charset val="1"/>
      </rPr>
      <t xml:space="preserve">Q2/Q3 </t>
    </r>
    <r>
      <rPr>
        <sz val="10"/>
        <rFont val="DejaVu Sans"/>
        <family val="2"/>
      </rPr>
      <t xml:space="preserve">隐含全年 </t>
    </r>
    <r>
      <rPr>
        <sz val="10"/>
        <rFont val="Arial"/>
        <family val="0"/>
        <charset val="1"/>
      </rPr>
      <t xml:space="preserve">~$370-400M</t>
    </r>
  </si>
  <si>
    <r>
      <rPr>
        <sz val="10"/>
        <rFont val="Arial"/>
        <family val="0"/>
        <charset val="1"/>
      </rPr>
      <t xml:space="preserve">399.0 (</t>
    </r>
    <r>
      <rPr>
        <sz val="10"/>
        <rFont val="DejaVu Sans"/>
        <family val="2"/>
      </rPr>
      <t xml:space="preserve">总收入</t>
    </r>
    <r>
      <rPr>
        <sz val="10"/>
        <rFont val="Arial"/>
        <family val="0"/>
        <charset val="1"/>
      </rPr>
      <t xml:space="preserve">)</t>
    </r>
  </si>
  <si>
    <t xml:space="preserve">+50%</t>
  </si>
  <si>
    <t xml:space="preserve">符合年初定性、达成隐含区间上沿</t>
  </si>
  <si>
    <r>
      <rPr>
        <sz val="10"/>
        <rFont val="Arial"/>
        <family val="0"/>
        <charset val="1"/>
      </rPr>
      <t xml:space="preserve">Beat</t>
    </r>
    <r>
      <rPr>
        <sz val="10"/>
        <rFont val="DejaVu Sans"/>
        <family val="2"/>
      </rPr>
      <t xml:space="preserve">（隐含区间）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</si>
  <si>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年各季度公告</t>
    </r>
  </si>
  <si>
    <r>
      <rPr>
        <sz val="10"/>
        <rFont val="Arial"/>
        <family val="0"/>
        <charset val="1"/>
      </rPr>
      <t xml:space="preserve">FY2025</t>
    </r>
    <r>
      <rPr>
        <sz val="10"/>
        <rFont val="DejaVu Sans"/>
        <family val="2"/>
      </rPr>
      <t xml:space="preserve">（原指引）</t>
    </r>
  </si>
  <si>
    <r>
      <rPr>
        <sz val="10"/>
        <rFont val="Arial"/>
        <family val="0"/>
        <charset val="1"/>
      </rPr>
      <t xml:space="preserve">2025-02-26 FY2024 </t>
    </r>
    <r>
      <rPr>
        <sz val="10"/>
        <rFont val="DejaVu Sans"/>
        <family val="2"/>
      </rPr>
      <t xml:space="preserve">业绩会</t>
    </r>
  </si>
  <si>
    <r>
      <rPr>
        <sz val="10"/>
        <rFont val="DejaVu Sans"/>
        <family val="2"/>
      </rPr>
      <t xml:space="preserve">全年总收入 </t>
    </r>
    <r>
      <rPr>
        <sz val="10"/>
        <rFont val="Arial"/>
        <family val="0"/>
        <charset val="1"/>
      </rPr>
      <t xml:space="preserve">$560-590 </t>
    </r>
    <r>
      <rPr>
        <sz val="10"/>
        <rFont val="DejaVu Sans"/>
        <family val="2"/>
      </rPr>
      <t xml:space="preserve">百万；</t>
    </r>
    <r>
      <rPr>
        <sz val="10"/>
        <rFont val="Arial"/>
        <family val="0"/>
        <charset val="1"/>
      </rPr>
      <t xml:space="preserve">Q4 </t>
    </r>
    <r>
      <rPr>
        <sz val="10"/>
        <rFont val="DejaVu Sans"/>
        <family val="2"/>
      </rPr>
      <t xml:space="preserve">实现非美国 </t>
    </r>
    <r>
      <rPr>
        <sz val="10"/>
        <rFont val="Arial"/>
        <family val="0"/>
        <charset val="1"/>
      </rPr>
      <t xml:space="preserve">GAAP </t>
    </r>
    <r>
      <rPr>
        <sz val="10"/>
        <rFont val="DejaVu Sans"/>
        <family val="2"/>
      </rPr>
      <t xml:space="preserve">经营盈利</t>
    </r>
  </si>
  <si>
    <t xml:space="preserve">下方两次更新</t>
  </si>
  <si>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年报新闻稿</t>
    </r>
  </si>
  <si>
    <r>
      <rPr>
        <sz val="10"/>
        <rFont val="Arial"/>
        <family val="0"/>
        <charset val="1"/>
      </rPr>
      <t xml:space="preserve">FY2025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Q3 </t>
    </r>
    <r>
      <rPr>
        <sz val="10"/>
        <rFont val="DejaVu Sans"/>
        <family val="2"/>
      </rPr>
      <t xml:space="preserve">调整）</t>
    </r>
  </si>
  <si>
    <r>
      <rPr>
        <sz val="10"/>
        <rFont val="Arial"/>
        <family val="0"/>
        <charset val="1"/>
      </rPr>
      <t xml:space="preserve">2025-11-06 Q3'25 </t>
    </r>
    <r>
      <rPr>
        <sz val="10"/>
        <rFont val="DejaVu Sans"/>
        <family val="2"/>
      </rPr>
      <t xml:space="preserve">业绩会</t>
    </r>
  </si>
  <si>
    <r>
      <rPr>
        <sz val="10"/>
        <rFont val="DejaVu Sans"/>
        <family val="2"/>
      </rPr>
      <t xml:space="preserve">全年总收入下调至「至少 </t>
    </r>
    <r>
      <rPr>
        <sz val="10"/>
        <rFont val="Arial"/>
        <family val="0"/>
        <charset val="1"/>
      </rPr>
      <t xml:space="preserve">$460 </t>
    </r>
    <r>
      <rPr>
        <sz val="10"/>
        <rFont val="DejaVu Sans"/>
        <family val="2"/>
      </rPr>
      <t xml:space="preserve">百万」；</t>
    </r>
    <r>
      <rPr>
        <sz val="10"/>
        <rFont val="Arial"/>
        <family val="0"/>
        <charset val="1"/>
      </rPr>
      <t xml:space="preserve">Q4 </t>
    </r>
    <r>
      <rPr>
        <sz val="10"/>
        <rFont val="DejaVu Sans"/>
        <family val="2"/>
      </rPr>
      <t xml:space="preserve">盈亏平衡目标维持但口径放宽</t>
    </r>
  </si>
  <si>
    <r>
      <rPr>
        <sz val="10"/>
        <rFont val="DejaVu Sans"/>
        <family val="2"/>
      </rPr>
      <t xml:space="preserve">较原指引中位数 </t>
    </r>
    <r>
      <rPr>
        <sz val="10"/>
        <rFont val="Arial"/>
        <family val="0"/>
        <charset val="1"/>
      </rPr>
      <t xml:space="preserve">-20%</t>
    </r>
  </si>
  <si>
    <r>
      <rPr>
        <sz val="10"/>
        <rFont val="Arial"/>
        <family val="0"/>
        <charset val="1"/>
      </rPr>
      <t xml:space="preserve">Miss / </t>
    </r>
    <r>
      <rPr>
        <sz val="10"/>
        <rFont val="DejaVu Sans"/>
        <family val="2"/>
      </rPr>
      <t xml:space="preserve">下调</t>
    </r>
  </si>
  <si>
    <r>
      <rPr>
        <sz val="10"/>
        <rFont val="Arial"/>
        <family val="0"/>
        <charset val="1"/>
      </rPr>
      <t xml:space="preserve">Q3'25 </t>
    </r>
    <r>
      <rPr>
        <sz val="10"/>
        <rFont val="DejaVu Sans"/>
        <family val="2"/>
      </rPr>
      <t xml:space="preserve">公告</t>
    </r>
  </si>
  <si>
    <r>
      <rPr>
        <sz val="10"/>
        <rFont val="Arial"/>
        <family val="0"/>
        <charset val="1"/>
      </rPr>
      <t xml:space="preserve">FY2025</t>
    </r>
    <r>
      <rPr>
        <sz val="10"/>
        <rFont val="DejaVu Sans"/>
        <family val="2"/>
      </rPr>
      <t xml:space="preserve">（实际）</t>
    </r>
  </si>
  <si>
    <r>
      <rPr>
        <sz val="10"/>
        <rFont val="Arial"/>
        <family val="0"/>
        <charset val="1"/>
      </rPr>
      <t xml:space="preserve">2026-02-26 FY2025 </t>
    </r>
    <r>
      <rPr>
        <sz val="10"/>
        <rFont val="DejaVu Sans"/>
        <family val="2"/>
      </rPr>
      <t xml:space="preserve">业绩会</t>
    </r>
  </si>
  <si>
    <t xml:space="preserve">公布实际值</t>
  </si>
  <si>
    <r>
      <rPr>
        <sz val="10"/>
        <rFont val="Arial"/>
        <family val="0"/>
        <charset val="1"/>
      </rPr>
      <t xml:space="preserve">460.2 (</t>
    </r>
    <r>
      <rPr>
        <sz val="10"/>
        <rFont val="DejaVu Sans"/>
        <family val="2"/>
      </rPr>
      <t xml:space="preserve">总收入</t>
    </r>
    <r>
      <rPr>
        <sz val="10"/>
        <rFont val="Arial"/>
        <family val="0"/>
        <charset val="1"/>
      </rPr>
      <t xml:space="preserve">)</t>
    </r>
  </si>
  <si>
    <t xml:space="preserve">+15%</t>
  </si>
  <si>
    <r>
      <rPr>
        <sz val="10"/>
        <rFont val="DejaVu Sans"/>
        <family val="2"/>
      </rPr>
      <t xml:space="preserve">落在调整后区间下沿；远低于原 </t>
    </r>
    <r>
      <rPr>
        <sz val="10"/>
        <rFont val="Arial"/>
        <family val="0"/>
        <charset val="1"/>
      </rPr>
      <t xml:space="preserve">$560-590M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</si>
  <si>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原指引）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基本达成（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调整后）</t>
    </r>
  </si>
  <si>
    <r>
      <rPr>
        <sz val="10"/>
        <rFont val="Arial"/>
        <family val="0"/>
        <charset val="1"/>
      </rPr>
      <t xml:space="preserve">FY2025 </t>
    </r>
    <r>
      <rPr>
        <sz val="10"/>
        <rFont val="DejaVu Sans"/>
        <family val="2"/>
      </rPr>
      <t xml:space="preserve">年报新闻稿</t>
    </r>
  </si>
  <si>
    <r>
      <rPr>
        <b val="true"/>
        <sz val="14"/>
        <color rgb="FF1F4E78"/>
        <rFont val="DejaVu Sans"/>
        <family val="2"/>
      </rPr>
      <t xml:space="preserve">盈亏平衡 </t>
    </r>
    <r>
      <rPr>
        <b val="true"/>
        <sz val="14"/>
        <color rgb="FF1F4E78"/>
        <rFont val="Arial"/>
        <family val="0"/>
        <charset val="1"/>
      </rPr>
      <t xml:space="preserve">/ </t>
    </r>
    <r>
      <rPr>
        <b val="true"/>
        <sz val="14"/>
        <color rgb="FF1F4E78"/>
        <rFont val="DejaVu Sans"/>
        <family val="2"/>
      </rPr>
      <t xml:space="preserve">盈利时间表 — 多次重申、多次推迟</t>
    </r>
  </si>
  <si>
    <t xml:space="preserve">提出场合</t>
  </si>
  <si>
    <t xml:space="preserve">盈利时间表（指引）</t>
  </si>
  <si>
    <t xml:space="preserve">目标口径</t>
  </si>
  <si>
    <t xml:space="preserve">实际进展</t>
  </si>
  <si>
    <r>
      <rPr>
        <b val="true"/>
        <sz val="11"/>
        <color rgb="FFFFFFFF"/>
        <rFont val="DejaVu Sans"/>
        <family val="2"/>
      </rPr>
      <t xml:space="preserve">备注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来源</t>
    </r>
  </si>
  <si>
    <t xml:space="preserve">2021-03</t>
  </si>
  <si>
    <r>
      <rPr>
        <sz val="10"/>
        <rFont val="Arial"/>
        <family val="0"/>
        <charset val="1"/>
      </rPr>
      <t xml:space="preserve">2020 </t>
    </r>
    <r>
      <rPr>
        <sz val="10"/>
        <rFont val="DejaVu Sans"/>
        <family val="2"/>
      </rPr>
      <t xml:space="preserve">年报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港股 </t>
    </r>
    <r>
      <rPr>
        <sz val="10"/>
        <rFont val="Arial"/>
        <family val="0"/>
        <charset val="1"/>
      </rPr>
      <t xml:space="preserve">IPO </t>
    </r>
    <r>
      <rPr>
        <sz val="10"/>
        <rFont val="DejaVu Sans"/>
        <family val="2"/>
      </rPr>
      <t xml:space="preserve">路演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</si>
  <si>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年实现公司层面整体盈利</t>
    </r>
  </si>
  <si>
    <r>
      <rPr>
        <sz val="10"/>
        <rFont val="Arial"/>
        <family val="0"/>
        <charset val="1"/>
      </rPr>
      <t xml:space="preserve">GAAP </t>
    </r>
    <r>
      <rPr>
        <sz val="10"/>
        <rFont val="DejaVu Sans"/>
        <family val="2"/>
      </rPr>
      <t xml:space="preserve">净利润转正</t>
    </r>
  </si>
  <si>
    <r>
      <rPr>
        <sz val="10"/>
        <rFont val="DejaVu Sans"/>
        <family val="2"/>
      </rPr>
      <t xml:space="preserve">至 </t>
    </r>
    <r>
      <rPr>
        <sz val="10"/>
        <rFont val="Arial"/>
        <family val="0"/>
        <charset val="1"/>
      </rPr>
      <t xml:space="preserve">FY2025 </t>
    </r>
    <r>
      <rPr>
        <sz val="10"/>
        <rFont val="DejaVu Sans"/>
        <family val="2"/>
      </rPr>
      <t xml:space="preserve">净亏损仍达 </t>
    </r>
    <r>
      <rPr>
        <sz val="10"/>
        <rFont val="Arial"/>
        <family val="0"/>
        <charset val="1"/>
      </rPr>
      <t xml:space="preserve">1.755 </t>
    </r>
    <r>
      <rPr>
        <sz val="10"/>
        <rFont val="DejaVu Sans"/>
        <family val="2"/>
      </rPr>
      <t xml:space="preserve">亿美元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</si>
  <si>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（未达 </t>
    </r>
    <r>
      <rPr>
        <sz val="10"/>
        <rFont val="Arial"/>
        <family val="0"/>
        <charset val="1"/>
      </rPr>
      <t xml:space="preserve">GAAP </t>
    </r>
    <r>
      <rPr>
        <sz val="10"/>
        <rFont val="DejaVu Sans"/>
        <family val="2"/>
      </rPr>
      <t xml:space="preserve">盈利）</t>
    </r>
  </si>
  <si>
    <r>
      <rPr>
        <sz val="10"/>
        <rFont val="DejaVu Sans"/>
        <family val="2"/>
      </rPr>
      <t xml:space="preserve">口径在 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年被改为「</t>
    </r>
    <r>
      <rPr>
        <sz val="10"/>
        <rFont val="Arial"/>
        <family val="0"/>
        <charset val="1"/>
      </rPr>
      <t xml:space="preserve">non-GAAP Q4 </t>
    </r>
    <r>
      <rPr>
        <sz val="10"/>
        <rFont val="DejaVu Sans"/>
        <family val="2"/>
      </rPr>
      <t xml:space="preserve">经营盈利」</t>
    </r>
  </si>
  <si>
    <t xml:space="preserve">2022-03</t>
  </si>
  <si>
    <r>
      <rPr>
        <sz val="10"/>
        <rFont val="Arial"/>
        <family val="0"/>
        <charset val="1"/>
      </rPr>
      <t xml:space="preserve">2021 </t>
    </r>
    <r>
      <rPr>
        <sz val="10"/>
        <rFont val="DejaVu Sans"/>
        <family val="2"/>
      </rPr>
      <t xml:space="preserve">年报业绩会</t>
    </r>
  </si>
  <si>
    <r>
      <rPr>
        <sz val="10"/>
        <rFont val="Arial"/>
        <family val="0"/>
        <charset val="1"/>
      </rPr>
      <t xml:space="preserve">2022 </t>
    </r>
    <r>
      <rPr>
        <sz val="10"/>
        <rFont val="DejaVu Sans"/>
        <family val="2"/>
      </rPr>
      <t xml:space="preserve">年实现商业层面盈利；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年公司层面盈利</t>
    </r>
  </si>
  <si>
    <r>
      <rPr>
        <sz val="10"/>
        <rFont val="DejaVu Sans"/>
        <family val="2"/>
      </rPr>
      <t xml:space="preserve">商业层面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商业产品毛利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商业费用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转正</t>
    </r>
  </si>
  <si>
    <r>
      <rPr>
        <sz val="10"/>
        <rFont val="Arial"/>
        <family val="0"/>
        <charset val="1"/>
      </rPr>
      <t xml:space="preserve">2022 </t>
    </r>
    <r>
      <rPr>
        <sz val="10"/>
        <rFont val="DejaVu Sans"/>
        <family val="2"/>
      </rPr>
      <t xml:space="preserve">年商业层面仍亏损；公司层面持续亏损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</si>
  <si>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（商业层面盈利推迟）</t>
    </r>
  </si>
  <si>
    <r>
      <rPr>
        <sz val="10"/>
        <rFont val="Arial"/>
        <family val="0"/>
        <charset val="1"/>
      </rPr>
      <t xml:space="preserve">2022 </t>
    </r>
    <r>
      <rPr>
        <sz val="10"/>
        <rFont val="DejaVu Sans"/>
        <family val="2"/>
      </rPr>
      <t xml:space="preserve">年报新闻稿；商业层面盈利后于 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年才接近实现</t>
    </r>
  </si>
  <si>
    <t xml:space="preserve">2023-03 &amp; 2024-02</t>
  </si>
  <si>
    <r>
      <rPr>
        <sz val="10"/>
        <rFont val="Arial"/>
        <family val="0"/>
        <charset val="1"/>
      </rPr>
      <t xml:space="preserve">2022/2023 </t>
    </r>
    <r>
      <rPr>
        <sz val="10"/>
        <rFont val="DejaVu Sans"/>
        <family val="2"/>
      </rPr>
      <t xml:space="preserve">年报业绩会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</si>
  <si>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年底实现公司层面盈利</t>
    </r>
  </si>
  <si>
    <r>
      <rPr>
        <sz val="10"/>
        <rFont val="DejaVu Sans"/>
        <family val="2"/>
      </rPr>
      <t xml:space="preserve">未明确（市场理解为 </t>
    </r>
    <r>
      <rPr>
        <sz val="10"/>
        <rFont val="Arial"/>
        <family val="0"/>
        <charset val="1"/>
      </rPr>
      <t xml:space="preserve">GAAP </t>
    </r>
    <r>
      <rPr>
        <sz val="10"/>
        <rFont val="DejaVu Sans"/>
        <family val="2"/>
      </rPr>
      <t xml:space="preserve">经营盈利）</t>
    </r>
  </si>
  <si>
    <r>
      <rPr>
        <sz val="10"/>
        <rFont val="DejaVu Sans"/>
        <family val="2"/>
      </rPr>
      <t xml:space="preserve">至 </t>
    </r>
    <r>
      <rPr>
        <sz val="10"/>
        <rFont val="Arial"/>
        <family val="0"/>
        <charset val="1"/>
      </rPr>
      <t xml:space="preserve">FY2025 GAAP </t>
    </r>
    <r>
      <rPr>
        <sz val="10"/>
        <rFont val="DejaVu Sans"/>
        <family val="2"/>
      </rPr>
      <t xml:space="preserve">经营仍亏损 </t>
    </r>
    <r>
      <rPr>
        <sz val="10"/>
        <rFont val="Arial"/>
        <family val="0"/>
        <charset val="1"/>
      </rPr>
      <t xml:space="preserve">~1.7+ </t>
    </r>
    <r>
      <rPr>
        <sz val="10"/>
        <rFont val="DejaVu Sans"/>
        <family val="2"/>
      </rPr>
      <t xml:space="preserve">亿美元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</si>
  <si>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（口径再次软化）</t>
    </r>
  </si>
  <si>
    <r>
      <rPr>
        <sz val="10"/>
        <rFont val="Arial"/>
        <family val="0"/>
        <charset val="1"/>
      </rPr>
      <t xml:space="preserve">2023/2024 </t>
    </r>
    <r>
      <rPr>
        <sz val="10"/>
        <rFont val="DejaVu Sans"/>
        <family val="2"/>
      </rPr>
      <t xml:space="preserve">年报</t>
    </r>
  </si>
  <si>
    <t xml:space="preserve">2024-02 &amp; 2025-02</t>
  </si>
  <si>
    <r>
      <rPr>
        <sz val="10"/>
        <rFont val="Arial"/>
        <family val="0"/>
        <charset val="1"/>
      </rPr>
      <t xml:space="preserve">FY2023/FY2024 </t>
    </r>
    <r>
      <rPr>
        <sz val="10"/>
        <rFont val="DejaVu Sans"/>
        <family val="2"/>
      </rPr>
      <t xml:space="preserve">业绩会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</si>
  <si>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年第四季度实现 </t>
    </r>
    <r>
      <rPr>
        <sz val="10"/>
        <rFont val="Arial"/>
        <family val="0"/>
        <charset val="1"/>
      </rPr>
      <t xml:space="preserve">non-GAAP </t>
    </r>
    <r>
      <rPr>
        <sz val="10"/>
        <rFont val="DejaVu Sans"/>
        <family val="2"/>
      </rPr>
      <t xml:space="preserve">经营盈利（剔除股权激励、折摊后）</t>
    </r>
  </si>
  <si>
    <t xml:space="preserve">non-GAAP adjusted operating income</t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</si>
  <si>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（再次未达成）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</si>
  <si>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 </t>
    </r>
    <r>
      <rPr>
        <sz val="10"/>
        <rFont val="Arial"/>
        <family val="0"/>
        <charset val="1"/>
      </rPr>
      <t xml:space="preserve">11 </t>
    </r>
    <r>
      <rPr>
        <sz val="10"/>
        <rFont val="DejaVu Sans"/>
        <family val="2"/>
      </rPr>
      <t xml:space="preserve">月 </t>
    </r>
    <r>
      <rPr>
        <sz val="10"/>
        <rFont val="Arial"/>
        <family val="0"/>
        <charset val="1"/>
      </rPr>
      <t xml:space="preserve">Q3 </t>
    </r>
    <r>
      <rPr>
        <sz val="10"/>
        <rFont val="DejaVu Sans"/>
        <family val="2"/>
      </rPr>
      <t xml:space="preserve">业绩会管理层口径转为「逐步迈向」；</t>
    </r>
    <r>
      <rPr>
        <sz val="10"/>
        <rFont val="Arial"/>
        <family val="0"/>
        <charset val="1"/>
      </rPr>
      <t xml:space="preserve">Q4 </t>
    </r>
    <r>
      <rPr>
        <sz val="10"/>
        <rFont val="DejaVu Sans"/>
        <family val="2"/>
      </rPr>
      <t xml:space="preserve">实际 </t>
    </r>
    <r>
      <rPr>
        <sz val="10"/>
        <rFont val="Arial"/>
        <family val="0"/>
        <charset val="1"/>
      </rPr>
      <t xml:space="preserve">-$49.6M</t>
    </r>
  </si>
  <si>
    <t xml:space="preserve">2025-11</t>
  </si>
  <si>
    <r>
      <rPr>
        <sz val="10"/>
        <rFont val="Arial"/>
        <family val="0"/>
        <charset val="1"/>
      </rPr>
      <t xml:space="preserve">Q3'25 </t>
    </r>
    <r>
      <rPr>
        <sz val="10"/>
        <rFont val="DejaVu Sans"/>
        <family val="2"/>
      </rPr>
      <t xml:space="preserve">业绩会</t>
    </r>
  </si>
  <si>
    <r>
      <rPr>
        <sz val="10"/>
        <rFont val="DejaVu Sans"/>
        <family val="2"/>
      </rPr>
      <t xml:space="preserve">维持「迈向 </t>
    </r>
    <r>
      <rPr>
        <sz val="10"/>
        <rFont val="Arial"/>
        <family val="0"/>
        <charset val="1"/>
      </rPr>
      <t xml:space="preserve">Q4 </t>
    </r>
    <r>
      <rPr>
        <sz val="10"/>
        <rFont val="DejaVu Sans"/>
        <family val="2"/>
      </rPr>
      <t xml:space="preserve">经营盈利」表述，但承认收入下调将使盈利时点推迟</t>
    </r>
  </si>
  <si>
    <r>
      <rPr>
        <sz val="10"/>
        <rFont val="Arial"/>
        <family val="0"/>
        <charset val="1"/>
      </rPr>
      <t xml:space="preserve">Q4'25 </t>
    </r>
    <r>
      <rPr>
        <sz val="10"/>
        <rFont val="DejaVu Sans"/>
        <family val="2"/>
      </rPr>
      <t xml:space="preserve">调整后亏损 </t>
    </r>
    <r>
      <rPr>
        <sz val="10"/>
        <rFont val="Arial"/>
        <family val="0"/>
        <charset val="1"/>
      </rPr>
      <t xml:space="preserve">4,960 </t>
    </r>
    <r>
      <rPr>
        <sz val="10"/>
        <rFont val="DejaVu Sans"/>
        <family val="2"/>
      </rPr>
      <t xml:space="preserve">万美元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</si>
  <si>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（即时落空）</t>
    </r>
  </si>
  <si>
    <r>
      <rPr>
        <sz val="10"/>
        <rFont val="Arial"/>
        <family val="0"/>
        <charset val="1"/>
      </rPr>
      <t xml:space="preserve">Q3'25 </t>
    </r>
    <r>
      <rPr>
        <sz val="10"/>
        <rFont val="DejaVu Sans"/>
        <family val="2"/>
      </rPr>
      <t xml:space="preserve">公告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浦银国际研究报告</t>
    </r>
  </si>
  <si>
    <r>
      <rPr>
        <b val="true"/>
        <sz val="14"/>
        <color rgb="FF1F4E78"/>
        <rFont val="DejaVu Sans"/>
        <family val="2"/>
      </rPr>
      <t xml:space="preserve">核心商业化产品 — 销售指引 </t>
    </r>
    <r>
      <rPr>
        <b val="true"/>
        <sz val="14"/>
        <color rgb="FF1F4E78"/>
        <rFont val="Arial"/>
        <family val="0"/>
        <charset val="1"/>
      </rPr>
      <t xml:space="preserve">vs </t>
    </r>
    <r>
      <rPr>
        <b val="true"/>
        <sz val="14"/>
        <color rgb="FF1F4E78"/>
        <rFont val="DejaVu Sans"/>
        <family val="2"/>
      </rPr>
      <t xml:space="preserve">实际</t>
    </r>
  </si>
  <si>
    <t xml:space="preserve">产品</t>
  </si>
  <si>
    <t xml:space="preserve">指引内容</t>
  </si>
  <si>
    <t xml:space="preserve">对应财年</t>
  </si>
  <si>
    <r>
      <rPr>
        <b val="true"/>
        <sz val="11"/>
        <color rgb="FFFFFFFF"/>
        <rFont val="DejaVu Sans"/>
        <family val="2"/>
      </rPr>
      <t xml:space="preserve">实际销售（</t>
    </r>
    <r>
      <rPr>
        <b val="true"/>
        <sz val="11"/>
        <color rgb="FFFFFFFF"/>
        <rFont val="Arial"/>
        <family val="0"/>
        <charset val="1"/>
      </rPr>
      <t xml:space="preserve">USD </t>
    </r>
    <r>
      <rPr>
        <b val="true"/>
        <sz val="11"/>
        <color rgb="FFFFFFFF"/>
        <rFont val="DejaVu Sans"/>
        <family val="2"/>
      </rPr>
      <t xml:space="preserve">百万）</t>
    </r>
  </si>
  <si>
    <t xml:space="preserve">来源</t>
  </si>
  <si>
    <r>
      <rPr>
        <sz val="10"/>
        <rFont val="DejaVu Sans"/>
        <family val="2"/>
      </rPr>
      <t xml:space="preserve">则乐 </t>
    </r>
    <r>
      <rPr>
        <sz val="10"/>
        <rFont val="Arial"/>
        <family val="0"/>
        <charset val="1"/>
      </rPr>
      <t xml:space="preserve">(ZEJULA)</t>
    </r>
  </si>
  <si>
    <r>
      <rPr>
        <sz val="10"/>
        <rFont val="DejaVu Sans"/>
        <family val="2"/>
      </rPr>
      <t xml:space="preserve">「目标成为中国卵巢癌一线维持治疗 </t>
    </r>
    <r>
      <rPr>
        <sz val="10"/>
        <rFont val="Arial"/>
        <family val="0"/>
        <charset val="1"/>
      </rPr>
      <t xml:space="preserve">PARP </t>
    </r>
    <r>
      <rPr>
        <sz val="10"/>
        <rFont val="DejaVu Sans"/>
        <family val="2"/>
      </rPr>
      <t xml:space="preserve">龙头」（无具体数字）</t>
    </r>
  </si>
  <si>
    <t xml:space="preserve">145.2 (+55% YoY)</t>
  </si>
  <si>
    <r>
      <rPr>
        <sz val="10"/>
        <rFont val="Arial"/>
        <family val="0"/>
        <charset val="1"/>
      </rPr>
      <t xml:space="preserve">Beat</t>
    </r>
    <r>
      <rPr>
        <sz val="10"/>
        <rFont val="DejaVu Sans"/>
        <family val="2"/>
      </rPr>
      <t xml:space="preserve">（市占率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增速均超预期）</t>
    </r>
  </si>
  <si>
    <t xml:space="preserve">2023-03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</si>
  <si>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2023 </t>
    </r>
    <r>
      <rPr>
        <sz val="10"/>
        <rFont val="DejaVu Sans"/>
        <family val="2"/>
      </rPr>
      <t xml:space="preserve">年保持双位数增长、维持 </t>
    </r>
    <r>
      <rPr>
        <sz val="10"/>
        <rFont val="Arial"/>
        <family val="0"/>
        <charset val="1"/>
      </rPr>
      <t xml:space="preserve">PARP </t>
    </r>
    <r>
      <rPr>
        <sz val="10"/>
        <rFont val="DejaVu Sans"/>
        <family val="2"/>
      </rPr>
      <t xml:space="preserve">中国龙头」</t>
    </r>
  </si>
  <si>
    <t xml:space="preserve">166.8 (+15% YoY)</t>
  </si>
  <si>
    <t xml:space="preserve">符合双位数</t>
  </si>
  <si>
    <t xml:space="preserve">In line</t>
  </si>
  <si>
    <t xml:space="preserve">2024-02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</si>
  <si>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年继续放量；面临医保续约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竞争加剧」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定性，无数字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</si>
  <si>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186.6 (≈</t>
    </r>
    <r>
      <rPr>
        <sz val="10"/>
        <rFont val="DejaVu Sans"/>
        <family val="2"/>
      </rPr>
      <t xml:space="preserve">持平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</si>
  <si>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（增速骤降反映集采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竞争压力）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</si>
  <si>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年报</t>
    </r>
  </si>
  <si>
    <r>
      <rPr>
        <sz val="10"/>
        <rFont val="DejaVu Sans"/>
        <family val="2"/>
      </rPr>
      <t xml:space="preserve">艾加莫德 </t>
    </r>
    <r>
      <rPr>
        <sz val="10"/>
        <rFont val="Arial"/>
        <family val="0"/>
        <charset val="1"/>
      </rPr>
      <t xml:space="preserve">(VYVGART)</t>
    </r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</si>
  <si>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全年销售 </t>
    </r>
    <r>
      <rPr>
        <sz val="10"/>
        <rFont val="Arial"/>
        <family val="0"/>
        <charset val="1"/>
      </rPr>
      <t xml:space="preserve">&gt;$70 </t>
    </r>
    <r>
      <rPr>
        <sz val="10"/>
        <rFont val="DejaVu Sans"/>
        <family val="2"/>
      </rPr>
      <t xml:space="preserve">百万」（年初）</t>
    </r>
  </si>
  <si>
    <t xml:space="preserve">93.6</t>
  </si>
  <si>
    <t xml:space="preserve">+34% vs 70M</t>
  </si>
  <si>
    <r>
      <rPr>
        <sz val="10"/>
        <rFont val="Arial"/>
        <family val="0"/>
        <charset val="1"/>
      </rPr>
      <t xml:space="preserve">Beat</t>
    </r>
    <r>
      <rPr>
        <sz val="10"/>
        <rFont val="DejaVu Sans"/>
        <family val="2"/>
      </rPr>
      <t xml:space="preserve">（最大亮点）</t>
    </r>
  </si>
  <si>
    <r>
      <rPr>
        <sz val="10"/>
        <rFont val="Arial"/>
        <family val="0"/>
        <charset val="1"/>
      </rPr>
      <t xml:space="preserve">Q1'24 </t>
    </r>
    <r>
      <rPr>
        <sz val="10"/>
        <rFont val="DejaVu Sans"/>
        <family val="2"/>
      </rPr>
      <t xml:space="preserve">公告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年报</t>
    </r>
  </si>
  <si>
    <t xml:space="preserve">2024-08</t>
  </si>
  <si>
    <r>
      <rPr>
        <sz val="10"/>
        <rFont val="Arial"/>
        <family val="0"/>
        <charset val="1"/>
      </rPr>
      <t xml:space="preserve">Q2 </t>
    </r>
    <r>
      <rPr>
        <sz val="10"/>
        <rFont val="DejaVu Sans"/>
        <family val="2"/>
      </rPr>
      <t xml:space="preserve">上调全年指引至 </t>
    </r>
    <r>
      <rPr>
        <sz val="10"/>
        <rFont val="Arial"/>
        <family val="0"/>
        <charset val="1"/>
      </rPr>
      <t xml:space="preserve">&gt;$80 </t>
    </r>
    <r>
      <rPr>
        <sz val="10"/>
        <rFont val="DejaVu Sans"/>
        <family val="2"/>
      </rPr>
      <t xml:space="preserve">百万</t>
    </r>
  </si>
  <si>
    <t xml:space="preserve">+17% vs 80M</t>
  </si>
  <si>
    <t xml:space="preserve">Beat</t>
  </si>
  <si>
    <r>
      <rPr>
        <sz val="10"/>
        <rFont val="Arial"/>
        <family val="0"/>
        <charset val="1"/>
      </rPr>
      <t xml:space="preserve">Q2'24 </t>
    </r>
    <r>
      <rPr>
        <sz val="10"/>
        <rFont val="DejaVu Sans"/>
        <family val="2"/>
      </rPr>
      <t xml:space="preserve">公告</t>
    </r>
  </si>
  <si>
    <t xml:space="preserve">2025-02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</si>
  <si>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年继续保持强劲增长，期待新适应证获批」</t>
    </r>
  </si>
  <si>
    <t xml:space="preserve">FY2025</t>
  </si>
  <si>
    <r>
      <rPr>
        <sz val="10"/>
        <rFont val="Arial"/>
        <family val="0"/>
        <charset val="1"/>
      </rPr>
      <t xml:space="preserve">94.2 (≈</t>
    </r>
    <r>
      <rPr>
        <sz val="10"/>
        <rFont val="DejaVu Sans"/>
        <family val="2"/>
      </rPr>
      <t xml:space="preserve">持平 </t>
    </r>
    <r>
      <rPr>
        <sz val="10"/>
        <rFont val="Arial"/>
        <family val="0"/>
        <charset val="1"/>
      </rPr>
      <t xml:space="preserve">YoY)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</si>
  <si>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（增长失速；</t>
    </r>
    <r>
      <rPr>
        <sz val="10"/>
        <rFont val="Arial"/>
        <family val="0"/>
        <charset val="1"/>
      </rPr>
      <t xml:space="preserve">Q4 </t>
    </r>
    <r>
      <rPr>
        <sz val="10"/>
        <rFont val="DejaVu Sans"/>
        <family val="2"/>
      </rPr>
      <t xml:space="preserve">同比 </t>
    </r>
    <r>
      <rPr>
        <sz val="10"/>
        <rFont val="Arial"/>
        <family val="0"/>
        <charset val="1"/>
      </rPr>
      <t xml:space="preserve">-27%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</si>
  <si>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FY2025 </t>
    </r>
    <r>
      <rPr>
        <sz val="10"/>
        <rFont val="DejaVu Sans"/>
        <family val="2"/>
      </rPr>
      <t xml:space="preserve">年报</t>
    </r>
  </si>
  <si>
    <r>
      <rPr>
        <sz val="10"/>
        <rFont val="DejaVu Sans"/>
        <family val="2"/>
      </rPr>
      <t xml:space="preserve">纽再乐 </t>
    </r>
    <r>
      <rPr>
        <sz val="10"/>
        <rFont val="Arial"/>
        <family val="0"/>
        <charset val="1"/>
      </rPr>
      <t xml:space="preserve">(Augtyro)</t>
    </r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</si>
  <si>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2024-2025 </t>
    </r>
    <r>
      <rPr>
        <sz val="10"/>
        <rFont val="DejaVu Sans"/>
        <family val="2"/>
      </rPr>
      <t xml:space="preserve">年中国上市并放量，潜在重磅」</t>
    </r>
  </si>
  <si>
    <t xml:space="preserve">60.8 (+41% YoY)</t>
  </si>
  <si>
    <r>
      <rPr>
        <sz val="10"/>
        <rFont val="Arial"/>
        <family val="0"/>
        <charset val="1"/>
      </rPr>
      <t xml:space="preserve">In line</t>
    </r>
    <r>
      <rPr>
        <sz val="10"/>
        <rFont val="DejaVu Sans"/>
        <family val="2"/>
      </rPr>
      <t xml:space="preserve">（已上市并放量）</t>
    </r>
  </si>
  <si>
    <r>
      <rPr>
        <sz val="10"/>
        <rFont val="DejaVu Sans"/>
        <family val="2"/>
      </rPr>
      <t xml:space="preserve">鼎优乐 </t>
    </r>
    <r>
      <rPr>
        <sz val="10"/>
        <rFont val="Arial"/>
        <family val="0"/>
        <charset val="1"/>
      </rPr>
      <t xml:space="preserve">(Xacduro)</t>
    </r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</si>
  <si>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年成为公司增长核心驱动之一」</t>
    </r>
  </si>
  <si>
    <t xml:space="preserve">22.9 (+593% YoY)</t>
  </si>
  <si>
    <t xml:space="preserve">高基数效应</t>
  </si>
  <si>
    <r>
      <rPr>
        <sz val="10"/>
        <rFont val="Arial"/>
        <family val="0"/>
        <charset val="1"/>
      </rPr>
      <t xml:space="preserve">Beat</t>
    </r>
    <r>
      <rPr>
        <sz val="10"/>
        <rFont val="DejaVu Sans"/>
        <family val="2"/>
      </rPr>
      <t xml:space="preserve">（增速突出，但绝对值较小）</t>
    </r>
  </si>
  <si>
    <r>
      <rPr>
        <b val="true"/>
        <sz val="14"/>
        <color rgb="FF1F4E78"/>
        <rFont val="DejaVu Sans"/>
        <family val="2"/>
      </rPr>
      <t xml:space="preserve">管线推进 </t>
    </r>
    <r>
      <rPr>
        <b val="true"/>
        <sz val="14"/>
        <color rgb="FF1F4E78"/>
        <rFont val="Arial"/>
        <family val="0"/>
        <charset val="1"/>
      </rPr>
      <t xml:space="preserve">/ </t>
    </r>
    <r>
      <rPr>
        <b val="true"/>
        <sz val="14"/>
        <color rgb="FF1F4E78"/>
        <rFont val="DejaVu Sans"/>
        <family val="2"/>
      </rPr>
      <t xml:space="preserve">监管里程碑 — 指引 </t>
    </r>
    <r>
      <rPr>
        <b val="true"/>
        <sz val="14"/>
        <color rgb="FF1F4E78"/>
        <rFont val="Arial"/>
        <family val="0"/>
        <charset val="1"/>
      </rPr>
      <t xml:space="preserve">vs </t>
    </r>
    <r>
      <rPr>
        <b val="true"/>
        <sz val="14"/>
        <color rgb="FF1F4E78"/>
        <rFont val="DejaVu Sans"/>
        <family val="2"/>
      </rPr>
      <t xml:space="preserve">实际</t>
    </r>
  </si>
  <si>
    <t xml:space="preserve">项目</t>
  </si>
  <si>
    <t xml:space="preserve">指引时间</t>
  </si>
  <si>
    <t xml:space="preserve">目标时间</t>
  </si>
  <si>
    <r>
      <rPr>
        <sz val="10"/>
        <rFont val="Arial"/>
        <family val="0"/>
        <charset val="1"/>
      </rPr>
      <t xml:space="preserve">VYVGART (</t>
    </r>
    <r>
      <rPr>
        <sz val="10"/>
        <rFont val="DejaVu Sans"/>
        <family val="2"/>
      </rPr>
      <t xml:space="preserve">重症肌无力</t>
    </r>
    <r>
      <rPr>
        <sz val="10"/>
        <rFont val="Arial"/>
        <family val="0"/>
        <charset val="1"/>
      </rPr>
      <t xml:space="preserve">) China NDA</t>
    </r>
  </si>
  <si>
    <r>
      <rPr>
        <sz val="10"/>
        <rFont val="DejaVu Sans"/>
        <family val="2"/>
      </rPr>
      <t xml:space="preserve">中国 </t>
    </r>
    <r>
      <rPr>
        <sz val="10"/>
        <rFont val="Arial"/>
        <family val="0"/>
        <charset val="1"/>
      </rPr>
      <t xml:space="preserve">sBLA </t>
    </r>
    <r>
      <rPr>
        <sz val="10"/>
        <rFont val="DejaVu Sans"/>
        <family val="2"/>
      </rPr>
      <t xml:space="preserve">提交并获批</t>
    </r>
  </si>
  <si>
    <r>
      <rPr>
        <sz val="10"/>
        <rFont val="Arial"/>
        <family val="0"/>
        <charset val="1"/>
      </rPr>
      <t xml:space="preserve">2023 </t>
    </r>
    <r>
      <rPr>
        <sz val="10"/>
        <rFont val="DejaVu Sans"/>
        <family val="2"/>
      </rPr>
      <t xml:space="preserve">年</t>
    </r>
  </si>
  <si>
    <r>
      <rPr>
        <sz val="10"/>
        <rFont val="Arial"/>
        <family val="0"/>
        <charset val="1"/>
      </rPr>
      <t xml:space="preserve">2023-06-30 NMPA </t>
    </r>
    <r>
      <rPr>
        <sz val="10"/>
        <rFont val="DejaVu Sans"/>
        <family val="2"/>
      </rPr>
      <t xml:space="preserve">获批；</t>
    </r>
    <r>
      <rPr>
        <sz val="10"/>
        <rFont val="Arial"/>
        <family val="0"/>
        <charset val="1"/>
      </rPr>
      <t xml:space="preserve">9 </t>
    </r>
    <r>
      <rPr>
        <sz val="10"/>
        <rFont val="DejaVu Sans"/>
        <family val="2"/>
      </rPr>
      <t xml:space="preserve">月开始商业化销售</t>
    </r>
  </si>
  <si>
    <r>
      <rPr>
        <sz val="10"/>
        <rFont val="Arial"/>
        <family val="0"/>
        <charset val="1"/>
      </rPr>
      <t xml:space="preserve">In line</t>
    </r>
    <r>
      <rPr>
        <sz val="10"/>
        <rFont val="DejaVu Sans"/>
        <family val="2"/>
      </rPr>
      <t xml:space="preserve">（接近指引下沿）</t>
    </r>
  </si>
  <si>
    <r>
      <rPr>
        <sz val="10"/>
        <rFont val="Arial"/>
        <family val="0"/>
        <charset val="1"/>
      </rPr>
      <t xml:space="preserve">2023 </t>
    </r>
    <r>
      <rPr>
        <sz val="10"/>
        <rFont val="DejaVu Sans"/>
        <family val="2"/>
      </rPr>
      <t xml:space="preserve">年公司公告</t>
    </r>
  </si>
  <si>
    <r>
      <rPr>
        <sz val="10"/>
        <rFont val="Arial"/>
        <family val="0"/>
        <charset val="1"/>
      </rPr>
      <t xml:space="preserve">VYVGART NRDL</t>
    </r>
    <r>
      <rPr>
        <sz val="10"/>
        <rFont val="DejaVu Sans"/>
        <family val="2"/>
      </rPr>
      <t xml:space="preserve">（医保）</t>
    </r>
  </si>
  <si>
    <t xml:space="preserve">「争取年底前进入国家医保目录」</t>
  </si>
  <si>
    <r>
      <rPr>
        <sz val="10"/>
        <rFont val="Arial"/>
        <family val="0"/>
        <charset val="1"/>
      </rPr>
      <t xml:space="preserve">2023 </t>
    </r>
    <r>
      <rPr>
        <sz val="10"/>
        <rFont val="DejaVu Sans"/>
        <family val="2"/>
      </rPr>
      <t xml:space="preserve">年底</t>
    </r>
  </si>
  <si>
    <r>
      <rPr>
        <sz val="10"/>
        <rFont val="Arial"/>
        <family val="0"/>
        <charset val="1"/>
      </rPr>
      <t xml:space="preserve">2023-12 NRDL </t>
    </r>
    <r>
      <rPr>
        <sz val="10"/>
        <rFont val="DejaVu Sans"/>
        <family val="2"/>
      </rPr>
      <t xml:space="preserve">谈判成功，</t>
    </r>
    <r>
      <rPr>
        <sz val="10"/>
        <rFont val="Arial"/>
        <family val="0"/>
        <charset val="1"/>
      </rPr>
      <t xml:space="preserve">2024-01-01 </t>
    </r>
    <r>
      <rPr>
        <sz val="10"/>
        <rFont val="DejaVu Sans"/>
        <family val="2"/>
      </rPr>
      <t xml:space="preserve">生效</t>
    </r>
  </si>
  <si>
    <r>
      <rPr>
        <sz val="10"/>
        <rFont val="Arial"/>
        <family val="0"/>
        <charset val="1"/>
      </rPr>
      <t xml:space="preserve">Beat</t>
    </r>
    <r>
      <rPr>
        <sz val="10"/>
        <rFont val="DejaVu Sans"/>
        <family val="2"/>
      </rPr>
      <t xml:space="preserve">（按计划完成）</t>
    </r>
  </si>
  <si>
    <r>
      <rPr>
        <sz val="10"/>
        <rFont val="Arial"/>
        <family val="0"/>
        <charset val="1"/>
      </rPr>
      <t xml:space="preserve">2024 NRDL </t>
    </r>
    <r>
      <rPr>
        <sz val="10"/>
        <rFont val="DejaVu Sans"/>
        <family val="2"/>
      </rPr>
      <t xml:space="preserve">名单</t>
    </r>
  </si>
  <si>
    <r>
      <rPr>
        <sz val="10"/>
        <rFont val="Arial"/>
        <family val="0"/>
        <charset val="1"/>
      </rPr>
      <t xml:space="preserve">KarXT (</t>
    </r>
    <r>
      <rPr>
        <sz val="10"/>
        <rFont val="DejaVu Sans"/>
        <family val="2"/>
      </rPr>
      <t xml:space="preserve">精神分裂症</t>
    </r>
    <r>
      <rPr>
        <sz val="10"/>
        <rFont val="Arial"/>
        <family val="0"/>
        <charset val="1"/>
      </rPr>
      <t xml:space="preserve">) China NDA </t>
    </r>
    <r>
      <rPr>
        <sz val="10"/>
        <rFont val="DejaVu Sans"/>
        <family val="2"/>
      </rPr>
      <t xml:space="preserve">提交</t>
    </r>
  </si>
  <si>
    <t xml:space="preserve">2024-02 &amp; 2024-08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</si>
  <si>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2H24-1H25 </t>
    </r>
    <r>
      <rPr>
        <sz val="10"/>
        <rFont val="DejaVu Sans"/>
        <family val="2"/>
      </rPr>
      <t xml:space="preserve">完成 </t>
    </r>
    <r>
      <rPr>
        <sz val="10"/>
        <rFont val="Arial"/>
        <family val="0"/>
        <charset val="1"/>
      </rPr>
      <t xml:space="preserve">III </t>
    </r>
    <r>
      <rPr>
        <sz val="10"/>
        <rFont val="DejaVu Sans"/>
        <family val="2"/>
      </rPr>
      <t xml:space="preserve">期数据并提交 </t>
    </r>
    <r>
      <rPr>
        <sz val="10"/>
        <rFont val="Arial"/>
        <family val="0"/>
        <charset val="1"/>
      </rPr>
      <t xml:space="preserve">NDA</t>
    </r>
    <r>
      <rPr>
        <sz val="10"/>
        <rFont val="DejaVu Sans"/>
        <family val="2"/>
      </rPr>
      <t xml:space="preserve">」</t>
    </r>
  </si>
  <si>
    <r>
      <rPr>
        <sz val="10"/>
        <rFont val="Arial"/>
        <family val="0"/>
        <charset val="1"/>
      </rPr>
      <t xml:space="preserve">1H25 </t>
    </r>
    <r>
      <rPr>
        <sz val="10"/>
        <rFont val="DejaVu Sans"/>
        <family val="2"/>
      </rPr>
      <t xml:space="preserve">前</t>
    </r>
  </si>
  <si>
    <r>
      <rPr>
        <sz val="10"/>
        <rFont val="Arial"/>
        <family val="0"/>
        <charset val="1"/>
      </rPr>
      <t xml:space="preserve">2024 Q4 </t>
    </r>
    <r>
      <rPr>
        <sz val="10"/>
        <rFont val="DejaVu Sans"/>
        <family val="2"/>
      </rPr>
      <t xml:space="preserve">已向 </t>
    </r>
    <r>
      <rPr>
        <sz val="10"/>
        <rFont val="Arial"/>
        <family val="0"/>
        <charset val="1"/>
      </rPr>
      <t xml:space="preserve">NMPA </t>
    </r>
    <r>
      <rPr>
        <sz val="10"/>
        <rFont val="DejaVu Sans"/>
        <family val="2"/>
      </rPr>
      <t xml:space="preserve">提交</t>
    </r>
  </si>
  <si>
    <r>
      <rPr>
        <sz val="10"/>
        <rFont val="Arial"/>
        <family val="0"/>
        <charset val="1"/>
      </rPr>
      <t xml:space="preserve">Beat</t>
    </r>
    <r>
      <rPr>
        <sz val="10"/>
        <rFont val="DejaVu Sans"/>
        <family val="2"/>
      </rPr>
      <t xml:space="preserve">（提前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</si>
  <si>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2024 Q3 / Q4 </t>
    </r>
    <r>
      <rPr>
        <sz val="10"/>
        <rFont val="DejaVu Sans"/>
        <family val="2"/>
      </rPr>
      <t xml:space="preserve">公告</t>
    </r>
  </si>
  <si>
    <r>
      <rPr>
        <sz val="10"/>
        <rFont val="Arial"/>
        <family val="0"/>
        <charset val="1"/>
      </rPr>
      <t xml:space="preserve">KarXT </t>
    </r>
    <r>
      <rPr>
        <sz val="10"/>
        <rFont val="DejaVu Sans"/>
        <family val="2"/>
      </rPr>
      <t xml:space="preserve">中国获批</t>
    </r>
  </si>
  <si>
    <t xml:space="preserve">2024-09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</si>
  <si>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2025-2026 </t>
    </r>
    <r>
      <rPr>
        <sz val="10"/>
        <rFont val="DejaVu Sans"/>
        <family val="2"/>
      </rPr>
      <t xml:space="preserve">年获批」</t>
    </r>
  </si>
  <si>
    <t xml:space="preserve">2025-2026</t>
  </si>
  <si>
    <r>
      <rPr>
        <sz val="10"/>
        <rFont val="Arial"/>
        <family val="0"/>
        <charset val="1"/>
      </rPr>
      <t xml:space="preserve">2025-12-23 </t>
    </r>
    <r>
      <rPr>
        <sz val="10"/>
        <rFont val="DejaVu Sans"/>
        <family val="2"/>
      </rPr>
      <t xml:space="preserve">获批</t>
    </r>
  </si>
  <si>
    <r>
      <rPr>
        <sz val="10"/>
        <rFont val="Arial"/>
        <family val="0"/>
        <charset val="1"/>
      </rPr>
      <t xml:space="preserve">2025-12 </t>
    </r>
    <r>
      <rPr>
        <sz val="10"/>
        <rFont val="DejaVu Sans"/>
        <family val="2"/>
      </rPr>
      <t xml:space="preserve">公司公告</t>
    </r>
  </si>
  <si>
    <r>
      <rPr>
        <sz val="10"/>
        <rFont val="Arial"/>
        <family val="0"/>
        <charset val="1"/>
      </rPr>
      <t xml:space="preserve">Bemarituzumab (FGFR2b </t>
    </r>
    <r>
      <rPr>
        <sz val="10"/>
        <rFont val="DejaVu Sans"/>
        <family val="2"/>
      </rPr>
      <t xml:space="preserve">胃癌</t>
    </r>
    <r>
      <rPr>
        <sz val="10"/>
        <rFont val="Arial"/>
        <family val="0"/>
        <charset val="1"/>
      </rPr>
      <t xml:space="preserve">) III </t>
    </r>
    <r>
      <rPr>
        <sz val="10"/>
        <rFont val="DejaVu Sans"/>
        <family val="2"/>
      </rPr>
      <t xml:space="preserve">期数据 </t>
    </r>
    <r>
      <rPr>
        <sz val="10"/>
        <rFont val="Arial"/>
        <family val="0"/>
        <charset val="1"/>
      </rPr>
      <t xml:space="preserve">+ NDA</t>
    </r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</si>
  <si>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H1 2025 </t>
    </r>
    <r>
      <rPr>
        <sz val="10"/>
        <rFont val="DejaVu Sans"/>
        <family val="2"/>
      </rPr>
      <t xml:space="preserve">公布 </t>
    </r>
    <r>
      <rPr>
        <sz val="10"/>
        <rFont val="Arial"/>
        <family val="0"/>
        <charset val="1"/>
      </rPr>
      <t xml:space="preserve">III </t>
    </r>
    <r>
      <rPr>
        <sz val="10"/>
        <rFont val="DejaVu Sans"/>
        <family val="2"/>
      </rPr>
      <t xml:space="preserve">期 </t>
    </r>
    <r>
      <rPr>
        <sz val="10"/>
        <rFont val="Arial"/>
        <family val="0"/>
        <charset val="1"/>
      </rPr>
      <t xml:space="preserve">FORTITUDE-101 </t>
    </r>
    <r>
      <rPr>
        <sz val="10"/>
        <rFont val="DejaVu Sans"/>
        <family val="2"/>
      </rPr>
      <t xml:space="preserve">数据并提交 </t>
    </r>
    <r>
      <rPr>
        <sz val="10"/>
        <rFont val="Arial"/>
        <family val="0"/>
        <charset val="1"/>
      </rPr>
      <t xml:space="preserve">NDA</t>
    </r>
    <r>
      <rPr>
        <sz val="10"/>
        <rFont val="DejaVu Sans"/>
        <family val="2"/>
      </rPr>
      <t xml:space="preserve">」</t>
    </r>
  </si>
  <si>
    <t xml:space="preserve">H1 2025</t>
  </si>
  <si>
    <r>
      <rPr>
        <sz val="10"/>
        <rFont val="Arial"/>
        <family val="0"/>
        <charset val="1"/>
      </rPr>
      <t xml:space="preserve">2025 H1 </t>
    </r>
    <r>
      <rPr>
        <sz val="10"/>
        <rFont val="DejaVu Sans"/>
        <family val="2"/>
      </rPr>
      <t xml:space="preserve">数据公布；</t>
    </r>
    <r>
      <rPr>
        <sz val="10"/>
        <rFont val="Arial"/>
        <family val="0"/>
        <charset val="1"/>
      </rPr>
      <t xml:space="preserve">NDA </t>
    </r>
    <r>
      <rPr>
        <sz val="10"/>
        <rFont val="DejaVu Sans"/>
        <family val="2"/>
      </rPr>
      <t xml:space="preserve">已提交 </t>
    </r>
    <r>
      <rPr>
        <sz val="10"/>
        <rFont val="Arial"/>
        <family val="0"/>
        <charset val="1"/>
      </rPr>
      <t xml:space="preserve">NMPA</t>
    </r>
  </si>
  <si>
    <r>
      <rPr>
        <sz val="10"/>
        <rFont val="Arial"/>
        <family val="0"/>
        <charset val="1"/>
      </rPr>
      <t xml:space="preserve">FY2024 / 2025 </t>
    </r>
    <r>
      <rPr>
        <sz val="10"/>
        <rFont val="DejaVu Sans"/>
        <family val="2"/>
      </rPr>
      <t xml:space="preserve">中报</t>
    </r>
  </si>
  <si>
    <r>
      <rPr>
        <sz val="10"/>
        <rFont val="Arial"/>
        <family val="0"/>
        <charset val="1"/>
      </rPr>
      <t xml:space="preserve">Repotrectinib</t>
    </r>
    <r>
      <rPr>
        <sz val="10"/>
        <rFont val="DejaVu Sans"/>
        <family val="2"/>
      </rPr>
      <t xml:space="preserve">（纽再乐） 中国获批</t>
    </r>
  </si>
  <si>
    <t xml:space="preserve">2023-02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</si>
  <si>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 </t>
    </r>
    <r>
      <rPr>
        <sz val="10"/>
        <rFont val="Arial"/>
        <family val="0"/>
        <charset val="1"/>
      </rPr>
      <t xml:space="preserve">NMPA </t>
    </r>
    <r>
      <rPr>
        <sz val="10"/>
        <rFont val="DejaVu Sans"/>
        <family val="2"/>
      </rPr>
      <t xml:space="preserve">获批」</t>
    </r>
  </si>
  <si>
    <t xml:space="preserve">2024</t>
  </si>
  <si>
    <r>
      <rPr>
        <sz val="10"/>
        <rFont val="Arial"/>
        <family val="0"/>
        <charset val="1"/>
      </rPr>
      <t xml:space="preserve">2024-08 NMPA </t>
    </r>
    <r>
      <rPr>
        <sz val="10"/>
        <rFont val="DejaVu Sans"/>
        <family val="2"/>
      </rPr>
      <t xml:space="preserve">获批</t>
    </r>
  </si>
  <si>
    <r>
      <rPr>
        <sz val="10"/>
        <rFont val="Arial"/>
        <family val="0"/>
        <charset val="1"/>
      </rPr>
      <t xml:space="preserve">2024 Q3 </t>
    </r>
    <r>
      <rPr>
        <sz val="10"/>
        <rFont val="DejaVu Sans"/>
        <family val="2"/>
      </rPr>
      <t xml:space="preserve">公告</t>
    </r>
  </si>
  <si>
    <r>
      <rPr>
        <sz val="10"/>
        <rFont val="DejaVu Sans"/>
        <family val="2"/>
      </rPr>
      <t xml:space="preserve">「未来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年推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款新产品」</t>
    </r>
  </si>
  <si>
    <r>
      <rPr>
        <sz val="10"/>
        <rFont val="Arial"/>
        <family val="0"/>
        <charset val="1"/>
      </rPr>
      <t xml:space="preserve">2024-2026 </t>
    </r>
    <r>
      <rPr>
        <sz val="10"/>
        <rFont val="DejaVu Sans"/>
        <family val="2"/>
      </rPr>
      <t xml:space="preserve">累计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款新产品上市</t>
    </r>
  </si>
  <si>
    <r>
      <rPr>
        <sz val="10"/>
        <rFont val="DejaVu Sans"/>
        <family val="2"/>
      </rPr>
      <t xml:space="preserve">至 </t>
    </r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年底</t>
    </r>
  </si>
  <si>
    <r>
      <rPr>
        <sz val="10"/>
        <rFont val="DejaVu Sans"/>
        <family val="2"/>
      </rPr>
      <t xml:space="preserve">至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年底新增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款（</t>
    </r>
    <r>
      <rPr>
        <sz val="10"/>
        <rFont val="Arial"/>
        <family val="0"/>
        <charset val="1"/>
      </rPr>
      <t xml:space="preserve">Augtyro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Xacduro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VYVGART Hytrulo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KarXT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</si>
  <si>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Pending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年关键考核年）</t>
    </r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</si>
  <si>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年达 </t>
    </r>
    <r>
      <rPr>
        <sz val="10"/>
        <rFont val="Arial"/>
        <family val="0"/>
        <charset val="1"/>
      </rPr>
      <t xml:space="preserve">15 </t>
    </r>
    <r>
      <rPr>
        <sz val="10"/>
        <rFont val="DejaVu Sans"/>
        <family val="2"/>
      </rPr>
      <t xml:space="preserve">款上市产品」</t>
    </r>
  </si>
  <si>
    <r>
      <rPr>
        <sz val="10"/>
        <rFont val="Arial"/>
        <family val="0"/>
        <charset val="1"/>
      </rPr>
      <t xml:space="preserve">2021-2022 </t>
    </r>
    <r>
      <rPr>
        <sz val="10"/>
        <rFont val="DejaVu Sans"/>
        <family val="2"/>
      </rPr>
      <t xml:space="preserve">多次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</si>
  <si>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年公司组合达 </t>
    </r>
    <r>
      <rPr>
        <sz val="10"/>
        <rFont val="Arial"/>
        <family val="0"/>
        <charset val="1"/>
      </rPr>
      <t xml:space="preserve">15 </t>
    </r>
    <r>
      <rPr>
        <sz val="10"/>
        <rFont val="DejaVu Sans"/>
        <family val="2"/>
      </rPr>
      <t xml:space="preserve">款已上市产品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</si>
  <si>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年底</t>
    </r>
  </si>
  <si>
    <r>
      <rPr>
        <sz val="10"/>
        <rFont val="DejaVu Sans"/>
        <family val="2"/>
      </rPr>
      <t xml:space="preserve">实际 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款（含 </t>
    </r>
    <r>
      <rPr>
        <sz val="10"/>
        <rFont val="Arial"/>
        <family val="0"/>
        <charset val="1"/>
      </rPr>
      <t xml:space="preserve">KarXT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</si>
  <si>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（缺口 </t>
    </r>
    <r>
      <rPr>
        <sz val="10"/>
        <rFont val="Arial"/>
        <family val="0"/>
        <charset val="1"/>
      </rPr>
      <t xml:space="preserve">~7 </t>
    </r>
    <r>
      <rPr>
        <sz val="10"/>
        <rFont val="DejaVu Sans"/>
        <family val="2"/>
      </rPr>
      <t xml:space="preserve">款，目标推迟至 </t>
    </r>
    <r>
      <rPr>
        <sz val="10"/>
        <rFont val="Arial"/>
        <family val="0"/>
        <charset val="1"/>
      </rPr>
      <t xml:space="preserve">2028 </t>
    </r>
    <r>
      <rPr>
        <sz val="10"/>
        <rFont val="DejaVu Sans"/>
        <family val="2"/>
      </rPr>
      <t xml:space="preserve">年）</t>
    </r>
  </si>
  <si>
    <r>
      <rPr>
        <sz val="10"/>
        <rFont val="Arial"/>
        <family val="0"/>
        <charset val="1"/>
      </rPr>
      <t xml:space="preserve">2024 JPM </t>
    </r>
    <r>
      <rPr>
        <sz val="10"/>
        <rFont val="DejaVu Sans"/>
        <family val="2"/>
      </rPr>
      <t xml:space="preserve">大会修订口径</t>
    </r>
  </si>
  <si>
    <t xml:space="preserve">再鼎医药 — 历年管理层指引时间线（按时间顺序）</t>
  </si>
  <si>
    <t xml:space="preserve">时间</t>
  </si>
  <si>
    <t xml:space="preserve">场合</t>
  </si>
  <si>
    <r>
      <rPr>
        <b val="true"/>
        <sz val="11"/>
        <color rgb="FFFFFFFF"/>
        <rFont val="DejaVu Sans"/>
        <family val="2"/>
      </rPr>
      <t xml:space="preserve">指引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承诺要点</t>
    </r>
  </si>
  <si>
    <t xml:space="preserve">事后兑现情况</t>
  </si>
  <si>
    <t xml:space="preserve">2020-09</t>
  </si>
  <si>
    <t xml:space="preserve">港股二次上市招股书</t>
  </si>
  <si>
    <r>
      <rPr>
        <sz val="10"/>
        <rFont val="DejaVu Sans"/>
        <family val="2"/>
      </rPr>
      <t xml:space="preserve">①已商业化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款产品；②</t>
    </r>
    <r>
      <rPr>
        <sz val="10"/>
        <rFont val="Arial"/>
        <family val="0"/>
        <charset val="1"/>
      </rPr>
      <t xml:space="preserve">2020-2025 </t>
    </r>
    <r>
      <rPr>
        <sz val="10"/>
        <rFont val="DejaVu Sans"/>
        <family val="2"/>
      </rPr>
      <t xml:space="preserve">重点放量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管线兑现；③长期定位中国创新药 </t>
    </r>
    <r>
      <rPr>
        <sz val="10"/>
        <rFont val="Arial"/>
        <family val="0"/>
        <charset val="1"/>
      </rPr>
      <t xml:space="preserve">leader</t>
    </r>
  </si>
  <si>
    <t xml:space="preserve">①✓ 商业化产品按计划增加；②收入按计划增长但盈利节奏远不及预期</t>
  </si>
  <si>
    <t xml:space="preserve">部分达成</t>
  </si>
  <si>
    <r>
      <rPr>
        <sz val="10"/>
        <rFont val="Arial"/>
        <family val="0"/>
        <charset val="1"/>
      </rPr>
      <t xml:space="preserve">2020 </t>
    </r>
    <r>
      <rPr>
        <sz val="10"/>
        <rFont val="DejaVu Sans"/>
        <family val="2"/>
      </rPr>
      <t xml:space="preserve">年报业绩会</t>
    </r>
  </si>
  <si>
    <r>
      <rPr>
        <sz val="10"/>
        <rFont val="Arial"/>
        <family val="0"/>
        <charset val="1"/>
      </rPr>
      <t xml:space="preserve">①2025 </t>
    </r>
    <r>
      <rPr>
        <sz val="10"/>
        <rFont val="DejaVu Sans"/>
        <family val="2"/>
      </rPr>
      <t xml:space="preserve">年拥有 ≥</t>
    </r>
    <r>
      <rPr>
        <sz val="10"/>
        <rFont val="Arial"/>
        <family val="0"/>
        <charset val="1"/>
      </rPr>
      <t xml:space="preserve">15 </t>
    </r>
    <r>
      <rPr>
        <sz val="10"/>
        <rFont val="DejaVu Sans"/>
        <family val="2"/>
      </rPr>
      <t xml:space="preserve">款上市产品；②肺癌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消化道管线 </t>
    </r>
    <r>
      <rPr>
        <sz val="10"/>
        <rFont val="Arial"/>
        <family val="0"/>
        <charset val="1"/>
      </rPr>
      <t xml:space="preserve">2030 </t>
    </r>
    <r>
      <rPr>
        <sz val="10"/>
        <rFont val="DejaVu Sans"/>
        <family val="2"/>
      </rPr>
      <t xml:space="preserve">年峰值收入 </t>
    </r>
    <r>
      <rPr>
        <sz val="10"/>
        <rFont val="Arial"/>
        <family val="0"/>
        <charset val="1"/>
      </rPr>
      <t xml:space="preserve">$2.5-3.0B</t>
    </r>
    <r>
      <rPr>
        <sz val="10"/>
        <rFont val="DejaVu Sans"/>
        <family val="2"/>
      </rPr>
      <t xml:space="preserve">；③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年实现公司层面盈利</t>
    </r>
  </si>
  <si>
    <r>
      <rPr>
        <sz val="10"/>
        <rFont val="DejaVu Sans"/>
        <family val="2"/>
      </rPr>
      <t xml:space="preserve">①截至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年仅 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款（缺口 </t>
    </r>
    <r>
      <rPr>
        <sz val="10"/>
        <rFont val="Arial"/>
        <family val="0"/>
        <charset val="1"/>
      </rPr>
      <t xml:space="preserve">~7 </t>
    </r>
    <r>
      <rPr>
        <sz val="10"/>
        <rFont val="DejaVu Sans"/>
        <family val="2"/>
      </rPr>
      <t xml:space="preserve">款）；②尚未到考核期；③未达成</t>
    </r>
  </si>
  <si>
    <r>
      <rPr>
        <sz val="10"/>
        <rFont val="Arial"/>
        <family val="0"/>
        <charset val="1"/>
      </rPr>
      <t xml:space="preserve">Miss×2</t>
    </r>
    <r>
      <rPr>
        <sz val="10"/>
        <rFont val="DejaVu Sans"/>
        <family val="2"/>
      </rPr>
      <t xml:space="preserve">（产品数、盈利）</t>
    </r>
  </si>
  <si>
    <r>
      <rPr>
        <sz val="10"/>
        <rFont val="Arial"/>
        <family val="0"/>
        <charset val="1"/>
      </rPr>
      <t xml:space="preserve">①2022 </t>
    </r>
    <r>
      <rPr>
        <sz val="10"/>
        <rFont val="DejaVu Sans"/>
        <family val="2"/>
      </rPr>
      <t xml:space="preserve">年实现商业层面盈利；②未来再上市 ≥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款产品；③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年公司层面盈利</t>
    </r>
  </si>
  <si>
    <r>
      <rPr>
        <sz val="10"/>
        <rFont val="Arial"/>
        <family val="0"/>
        <charset val="1"/>
      </rPr>
      <t xml:space="preserve">①2022 </t>
    </r>
    <r>
      <rPr>
        <sz val="10"/>
        <rFont val="DejaVu Sans"/>
        <family val="2"/>
      </rPr>
      <t xml:space="preserve">年仍亏损；②至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年累计新增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款；③未达成</t>
    </r>
  </si>
  <si>
    <t xml:space="preserve">Miss×3</t>
  </si>
  <si>
    <r>
      <rPr>
        <sz val="10"/>
        <rFont val="Arial"/>
        <family val="0"/>
        <charset val="1"/>
      </rPr>
      <t xml:space="preserve">2022 </t>
    </r>
    <r>
      <rPr>
        <sz val="10"/>
        <rFont val="DejaVu Sans"/>
        <family val="2"/>
      </rPr>
      <t xml:space="preserve">年报业绩会</t>
    </r>
  </si>
  <si>
    <r>
      <rPr>
        <sz val="10"/>
        <rFont val="Arial"/>
        <family val="0"/>
        <charset val="1"/>
      </rPr>
      <t xml:space="preserve">①2023-2028 </t>
    </r>
    <r>
      <rPr>
        <sz val="10"/>
        <rFont val="DejaVu Sans"/>
        <family val="2"/>
      </rPr>
      <t xml:space="preserve">年收入 </t>
    </r>
    <r>
      <rPr>
        <sz val="10"/>
        <rFont val="Arial"/>
        <family val="0"/>
        <charset val="1"/>
      </rPr>
      <t xml:space="preserve">CAGR ~50%</t>
    </r>
    <r>
      <rPr>
        <sz val="10"/>
        <rFont val="DejaVu Sans"/>
        <family val="2"/>
      </rPr>
      <t xml:space="preserve">；②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年底实现盈利；③未来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年推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款新产品</t>
    </r>
  </si>
  <si>
    <r>
      <rPr>
        <sz val="10"/>
        <rFont val="Arial"/>
        <family val="0"/>
        <charset val="1"/>
      </rPr>
      <t xml:space="preserve">①2024:+50% ✓ / 2025:+15% ✗</t>
    </r>
    <r>
      <rPr>
        <sz val="10"/>
        <rFont val="DejaVu Sans"/>
        <family val="2"/>
      </rPr>
      <t xml:space="preserve">；②未达成；③至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款，节奏可能在 </t>
    </r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完成</t>
    </r>
  </si>
  <si>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项 </t>
    </r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CAGR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+ 1 </t>
    </r>
    <r>
      <rPr>
        <sz val="10"/>
        <rFont val="DejaVu Sans"/>
        <family val="2"/>
      </rPr>
      <t xml:space="preserve">项 </t>
    </r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（盈利）</t>
    </r>
    <r>
      <rPr>
        <sz val="10"/>
        <rFont val="Arial"/>
        <family val="0"/>
        <charset val="1"/>
      </rPr>
      <t xml:space="preserve">+ 1 </t>
    </r>
    <r>
      <rPr>
        <sz val="10"/>
        <rFont val="DejaVu Sans"/>
        <family val="2"/>
      </rPr>
      <t xml:space="preserve">项 </t>
    </r>
    <r>
      <rPr>
        <sz val="10"/>
        <rFont val="Arial"/>
        <family val="0"/>
        <charset val="1"/>
      </rPr>
      <t xml:space="preserve">Pending</t>
    </r>
  </si>
  <si>
    <r>
      <rPr>
        <sz val="10"/>
        <rFont val="DejaVu Sans"/>
        <family val="2"/>
      </rPr>
      <t xml:space="preserve">①重申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年底盈利；②</t>
    </r>
    <r>
      <rPr>
        <sz val="10"/>
        <rFont val="Arial"/>
        <family val="0"/>
        <charset val="1"/>
      </rPr>
      <t xml:space="preserve">VYVGART 2024 </t>
    </r>
    <r>
      <rPr>
        <sz val="10"/>
        <rFont val="DejaVu Sans"/>
        <family val="2"/>
      </rPr>
      <t xml:space="preserve">年 </t>
    </r>
    <r>
      <rPr>
        <sz val="10"/>
        <rFont val="Arial"/>
        <family val="0"/>
        <charset val="1"/>
      </rPr>
      <t xml:space="preserve">&gt;$70 </t>
    </r>
    <r>
      <rPr>
        <sz val="10"/>
        <rFont val="DejaVu Sans"/>
        <family val="2"/>
      </rPr>
      <t xml:space="preserve">百万；③</t>
    </r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年 </t>
    </r>
    <r>
      <rPr>
        <sz val="10"/>
        <rFont val="Arial"/>
        <family val="0"/>
        <charset val="1"/>
      </rPr>
      <t xml:space="preserve">R&amp;D </t>
    </r>
    <r>
      <rPr>
        <sz val="10"/>
        <rFont val="DejaVu Sans"/>
        <family val="2"/>
      </rPr>
      <t xml:space="preserve">持平、销售费用小幅增长</t>
    </r>
  </si>
  <si>
    <r>
      <rPr>
        <sz val="10"/>
        <rFont val="DejaVu Sans"/>
        <family val="2"/>
      </rPr>
      <t xml:space="preserve">①未达成；②</t>
    </r>
    <r>
      <rPr>
        <sz val="10"/>
        <rFont val="Arial"/>
        <family val="0"/>
        <charset val="1"/>
      </rPr>
      <t xml:space="preserve">$93.6M Beat</t>
    </r>
    <r>
      <rPr>
        <sz val="10"/>
        <rFont val="DejaVu Sans"/>
        <family val="2"/>
      </rPr>
      <t xml:space="preserve">；③大致符合</t>
    </r>
  </si>
  <si>
    <t xml:space="preserve">1 Miss + 1 Beat + 1 In line</t>
  </si>
  <si>
    <r>
      <rPr>
        <sz val="10"/>
        <rFont val="Arial"/>
        <family val="0"/>
        <charset val="1"/>
      </rPr>
      <t xml:space="preserve">2024 Q2 </t>
    </r>
    <r>
      <rPr>
        <sz val="10"/>
        <rFont val="DejaVu Sans"/>
        <family val="2"/>
      </rPr>
      <t xml:space="preserve">业绩会</t>
    </r>
  </si>
  <si>
    <r>
      <rPr>
        <sz val="10"/>
        <rFont val="Arial"/>
        <family val="0"/>
        <charset val="1"/>
      </rPr>
      <t xml:space="preserve">①VYVGART </t>
    </r>
    <r>
      <rPr>
        <sz val="10"/>
        <rFont val="DejaVu Sans"/>
        <family val="2"/>
      </rPr>
      <t xml:space="preserve">全年指引上调至 </t>
    </r>
    <r>
      <rPr>
        <sz val="10"/>
        <rFont val="Arial"/>
        <family val="0"/>
        <charset val="1"/>
      </rPr>
      <t xml:space="preserve">&gt;$80M</t>
    </r>
    <r>
      <rPr>
        <sz val="10"/>
        <rFont val="DejaVu Sans"/>
        <family val="2"/>
      </rPr>
      <t xml:space="preserve">；②</t>
    </r>
    <r>
      <rPr>
        <sz val="10"/>
        <rFont val="Arial"/>
        <family val="0"/>
        <charset val="1"/>
      </rPr>
      <t xml:space="preserve">KarXT </t>
    </r>
    <r>
      <rPr>
        <sz val="10"/>
        <rFont val="DejaVu Sans"/>
        <family val="2"/>
      </rPr>
      <t xml:space="preserve">中国 </t>
    </r>
    <r>
      <rPr>
        <sz val="10"/>
        <rFont val="Arial"/>
        <family val="0"/>
        <charset val="1"/>
      </rPr>
      <t xml:space="preserve">NDA 4Q24 </t>
    </r>
    <r>
      <rPr>
        <sz val="10"/>
        <rFont val="DejaVu Sans"/>
        <family val="2"/>
      </rPr>
      <t xml:space="preserve">提交</t>
    </r>
  </si>
  <si>
    <r>
      <rPr>
        <sz val="10"/>
        <rFont val="Arial"/>
        <family val="0"/>
        <charset val="1"/>
      </rPr>
      <t xml:space="preserve">①$93.6M Beat</t>
    </r>
    <r>
      <rPr>
        <sz val="10"/>
        <rFont val="DejaVu Sans"/>
        <family val="2"/>
      </rPr>
      <t xml:space="preserve">；②</t>
    </r>
    <r>
      <rPr>
        <sz val="10"/>
        <rFont val="Arial"/>
        <family val="0"/>
        <charset val="1"/>
      </rPr>
      <t xml:space="preserve">4Q24 </t>
    </r>
    <r>
      <rPr>
        <sz val="10"/>
        <rFont val="DejaVu Sans"/>
        <family val="2"/>
      </rPr>
      <t xml:space="preserve">已提交 ✓</t>
    </r>
  </si>
  <si>
    <t xml:space="preserve">Beat × 2</t>
  </si>
  <si>
    <t xml:space="preserve">2024-11 / 2025-01 (JPM)</t>
  </si>
  <si>
    <r>
      <rPr>
        <sz val="10"/>
        <rFont val="Arial"/>
        <family val="0"/>
        <charset val="1"/>
      </rPr>
      <t xml:space="preserve">Q3'24 </t>
    </r>
    <r>
      <rPr>
        <sz val="10"/>
        <rFont val="DejaVu Sans"/>
        <family val="2"/>
      </rPr>
      <t xml:space="preserve">业绩会 </t>
    </r>
    <r>
      <rPr>
        <sz val="10"/>
        <rFont val="Arial"/>
        <family val="0"/>
        <charset val="1"/>
      </rPr>
      <t xml:space="preserve">+ JPM </t>
    </r>
    <r>
      <rPr>
        <sz val="10"/>
        <rFont val="DejaVu Sans"/>
        <family val="2"/>
      </rPr>
      <t xml:space="preserve">大会</t>
    </r>
  </si>
  <si>
    <r>
      <rPr>
        <sz val="10"/>
        <rFont val="DejaVu Sans"/>
        <family val="2"/>
      </rPr>
      <t xml:space="preserve">①重申 </t>
    </r>
    <r>
      <rPr>
        <sz val="10"/>
        <rFont val="Arial"/>
        <family val="0"/>
        <charset val="1"/>
      </rPr>
      <t xml:space="preserve">Q4'25 non-GAAP </t>
    </r>
    <r>
      <rPr>
        <sz val="10"/>
        <rFont val="DejaVu Sans"/>
        <family val="2"/>
      </rPr>
      <t xml:space="preserve">经营盈利；②</t>
    </r>
    <r>
      <rPr>
        <sz val="10"/>
        <rFont val="Arial"/>
        <family val="0"/>
        <charset val="1"/>
      </rPr>
      <t xml:space="preserve">2025-2026 </t>
    </r>
    <r>
      <rPr>
        <sz val="10"/>
        <rFont val="DejaVu Sans"/>
        <family val="2"/>
      </rPr>
      <t xml:space="preserve">三款重磅新品（</t>
    </r>
    <r>
      <rPr>
        <sz val="10"/>
        <rFont val="Arial"/>
        <family val="0"/>
        <charset val="1"/>
      </rPr>
      <t xml:space="preserve">Bemari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KarXT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ZL-1310</t>
    </r>
    <r>
      <rPr>
        <sz val="10"/>
        <rFont val="DejaVu Sans"/>
        <family val="2"/>
      </rPr>
      <t xml:space="preserve">）；③</t>
    </r>
    <r>
      <rPr>
        <sz val="10"/>
        <rFont val="Arial"/>
        <family val="0"/>
        <charset val="1"/>
      </rPr>
      <t xml:space="preserve">2028 </t>
    </r>
    <r>
      <rPr>
        <sz val="10"/>
        <rFont val="DejaVu Sans"/>
        <family val="2"/>
      </rPr>
      <t xml:space="preserve">年 ≥</t>
    </r>
    <r>
      <rPr>
        <sz val="10"/>
        <rFont val="Arial"/>
        <family val="0"/>
        <charset val="1"/>
      </rPr>
      <t xml:space="preserve">15 </t>
    </r>
    <r>
      <rPr>
        <sz val="10"/>
        <rFont val="DejaVu Sans"/>
        <family val="2"/>
      </rPr>
      <t xml:space="preserve">款上市产品</t>
    </r>
    <r>
      <rPr>
        <sz val="10"/>
        <rFont val="Arial"/>
        <family val="0"/>
        <charset val="1"/>
      </rPr>
      <t xml:space="preserve">+ $2B </t>
    </r>
    <r>
      <rPr>
        <sz val="10"/>
        <rFont val="DejaVu Sans"/>
        <family val="2"/>
      </rPr>
      <t xml:space="preserve">收入</t>
    </r>
  </si>
  <si>
    <r>
      <rPr>
        <sz val="10"/>
        <rFont val="Arial"/>
        <family val="0"/>
        <charset val="1"/>
      </rPr>
      <t xml:space="preserve">①Q4'25 </t>
    </r>
    <r>
      <rPr>
        <sz val="10"/>
        <rFont val="DejaVu Sans"/>
        <family val="2"/>
      </rPr>
      <t xml:space="preserve">调整后 </t>
    </r>
    <r>
      <rPr>
        <sz val="10"/>
        <rFont val="Arial"/>
        <family val="0"/>
        <charset val="1"/>
      </rPr>
      <t xml:space="preserve">-$49.6M Miss</t>
    </r>
    <r>
      <rPr>
        <sz val="10"/>
        <rFont val="DejaVu Sans"/>
        <family val="2"/>
      </rPr>
      <t xml:space="preserve">；②</t>
    </r>
    <r>
      <rPr>
        <sz val="10"/>
        <rFont val="Arial"/>
        <family val="0"/>
        <charset val="1"/>
      </rPr>
      <t xml:space="preserve">KarXT 12/23 </t>
    </r>
    <r>
      <rPr>
        <sz val="10"/>
        <rFont val="DejaVu Sans"/>
        <family val="2"/>
      </rPr>
      <t xml:space="preserve">已批，</t>
    </r>
    <r>
      <rPr>
        <sz val="10"/>
        <rFont val="Arial"/>
        <family val="0"/>
        <charset val="1"/>
      </rPr>
      <t xml:space="preserve">Bemari NDA </t>
    </r>
    <r>
      <rPr>
        <sz val="10"/>
        <rFont val="DejaVu Sans"/>
        <family val="2"/>
      </rPr>
      <t xml:space="preserve">已提交；③需观察</t>
    </r>
  </si>
  <si>
    <t xml:space="preserve">1 Miss + 2 In line + 1 Pending</t>
  </si>
  <si>
    <t xml:space="preserve">2025-02-26</t>
  </si>
  <si>
    <r>
      <rPr>
        <sz val="10"/>
        <rFont val="Arial"/>
        <family val="0"/>
        <charset val="1"/>
      </rPr>
      <t xml:space="preserve">FY2024 </t>
    </r>
    <r>
      <rPr>
        <sz val="10"/>
        <rFont val="DejaVu Sans"/>
        <family val="2"/>
      </rPr>
      <t xml:space="preserve">业绩会</t>
    </r>
  </si>
  <si>
    <r>
      <rPr>
        <sz val="10"/>
        <rFont val="Arial"/>
        <family val="0"/>
        <charset val="1"/>
      </rPr>
      <t xml:space="preserve">①FY2025 </t>
    </r>
    <r>
      <rPr>
        <sz val="10"/>
        <rFont val="DejaVu Sans"/>
        <family val="2"/>
      </rPr>
      <t xml:space="preserve">收入指引 </t>
    </r>
    <r>
      <rPr>
        <sz val="10"/>
        <rFont val="Arial"/>
        <family val="0"/>
        <charset val="1"/>
      </rPr>
      <t xml:space="preserve">$560-590M</t>
    </r>
    <r>
      <rPr>
        <sz val="10"/>
        <rFont val="DejaVu Sans"/>
        <family val="2"/>
      </rPr>
      <t xml:space="preserve">；②</t>
    </r>
    <r>
      <rPr>
        <sz val="10"/>
        <rFont val="Arial"/>
        <family val="0"/>
        <charset val="1"/>
      </rPr>
      <t xml:space="preserve">Q4'25 non-GAAP </t>
    </r>
    <r>
      <rPr>
        <sz val="10"/>
        <rFont val="DejaVu Sans"/>
        <family val="2"/>
      </rPr>
      <t xml:space="preserve">经营盈利；③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项 </t>
    </r>
    <r>
      <rPr>
        <sz val="10"/>
        <rFont val="Arial"/>
        <family val="0"/>
        <charset val="1"/>
      </rPr>
      <t xml:space="preserve">NDA </t>
    </r>
    <r>
      <rPr>
        <sz val="10"/>
        <rFont val="DejaVu Sans"/>
        <family val="2"/>
      </rPr>
      <t xml:space="preserve">提交</t>
    </r>
  </si>
  <si>
    <r>
      <rPr>
        <sz val="10"/>
        <rFont val="DejaVu Sans"/>
        <family val="2"/>
      </rPr>
      <t xml:space="preserve">①下调至 </t>
    </r>
    <r>
      <rPr>
        <sz val="10"/>
        <rFont val="Arial"/>
        <family val="0"/>
        <charset val="1"/>
      </rPr>
      <t xml:space="preserve">$460M</t>
    </r>
    <r>
      <rPr>
        <sz val="10"/>
        <rFont val="DejaVu Sans"/>
        <family val="2"/>
      </rPr>
      <t xml:space="preserve">；②未达成；③多数按计划</t>
    </r>
  </si>
  <si>
    <t xml:space="preserve">Miss × 2</t>
  </si>
  <si>
    <t xml:space="preserve">2025-08-07</t>
  </si>
  <si>
    <r>
      <rPr>
        <sz val="10"/>
        <rFont val="Arial"/>
        <family val="0"/>
        <charset val="1"/>
      </rPr>
      <t xml:space="preserve">FY2025 </t>
    </r>
    <r>
      <rPr>
        <sz val="10"/>
        <rFont val="DejaVu Sans"/>
        <family val="2"/>
      </rPr>
      <t xml:space="preserve">中报</t>
    </r>
  </si>
  <si>
    <r>
      <rPr>
        <sz val="10"/>
        <rFont val="DejaVu Sans"/>
        <family val="2"/>
      </rPr>
      <t xml:space="preserve">重申 </t>
    </r>
    <r>
      <rPr>
        <sz val="10"/>
        <rFont val="Arial"/>
        <family val="0"/>
        <charset val="1"/>
      </rPr>
      <t xml:space="preserve">$560-590M </t>
    </r>
    <r>
      <rPr>
        <sz val="10"/>
        <rFont val="DejaVu Sans"/>
        <family val="2"/>
      </rPr>
      <t xml:space="preserve">全年收入指引</t>
    </r>
  </si>
  <si>
    <r>
      <rPr>
        <sz val="10"/>
        <rFont val="Arial"/>
        <family val="0"/>
        <charset val="1"/>
      </rPr>
      <t xml:space="preserve">Q3 </t>
    </r>
    <r>
      <rPr>
        <sz val="10"/>
        <rFont val="DejaVu Sans"/>
        <family val="2"/>
      </rPr>
      <t xml:space="preserve">时被推翻</t>
    </r>
  </si>
  <si>
    <t xml:space="preserve">Miss</t>
  </si>
  <si>
    <t xml:space="preserve">2025-11-06</t>
  </si>
  <si>
    <r>
      <rPr>
        <sz val="10"/>
        <rFont val="Arial"/>
        <family val="0"/>
        <charset val="1"/>
      </rPr>
      <t xml:space="preserve">①FY2025 </t>
    </r>
    <r>
      <rPr>
        <sz val="10"/>
        <rFont val="DejaVu Sans"/>
        <family val="2"/>
      </rPr>
      <t xml:space="preserve">收入下调至 ≥</t>
    </r>
    <r>
      <rPr>
        <sz val="10"/>
        <rFont val="Arial"/>
        <family val="0"/>
        <charset val="1"/>
      </rPr>
      <t xml:space="preserve">$460M</t>
    </r>
    <r>
      <rPr>
        <sz val="10"/>
        <rFont val="DejaVu Sans"/>
        <family val="2"/>
      </rPr>
      <t xml:space="preserve">；②盈利时点延后</t>
    </r>
  </si>
  <si>
    <r>
      <rPr>
        <sz val="10"/>
        <rFont val="Arial"/>
        <family val="0"/>
        <charset val="1"/>
      </rPr>
      <t xml:space="preserve">①FY2025 </t>
    </r>
    <r>
      <rPr>
        <sz val="10"/>
        <rFont val="DejaVu Sans"/>
        <family val="2"/>
      </rPr>
      <t xml:space="preserve">实际 </t>
    </r>
    <r>
      <rPr>
        <sz val="10"/>
        <rFont val="Arial"/>
        <family val="0"/>
        <charset val="1"/>
      </rPr>
      <t xml:space="preserve">$460.2M</t>
    </r>
    <r>
      <rPr>
        <sz val="10"/>
        <rFont val="DejaVu Sans"/>
        <family val="2"/>
      </rPr>
      <t xml:space="preserve">（达成调整后区间下沿）；②</t>
    </r>
    <r>
      <rPr>
        <sz val="10"/>
        <rFont val="Arial"/>
        <family val="0"/>
        <charset val="1"/>
      </rPr>
      <t xml:space="preserve">Q4 </t>
    </r>
    <r>
      <rPr>
        <sz val="10"/>
        <rFont val="DejaVu Sans"/>
        <family val="2"/>
      </rPr>
      <t xml:space="preserve">仍亏损 </t>
    </r>
    <r>
      <rPr>
        <sz val="10"/>
        <rFont val="Arial"/>
        <family val="0"/>
        <charset val="1"/>
      </rPr>
      <t xml:space="preserve">4,960 </t>
    </r>
    <r>
      <rPr>
        <sz val="10"/>
        <rFont val="DejaVu Sans"/>
        <family val="2"/>
      </rPr>
      <t xml:space="preserve">万美元</t>
    </r>
  </si>
  <si>
    <r>
      <rPr>
        <sz val="10"/>
        <rFont val="Arial"/>
        <family val="0"/>
        <charset val="1"/>
      </rPr>
      <t xml:space="preserve">Miss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原指引）</t>
    </r>
    <r>
      <rPr>
        <sz val="10"/>
        <rFont val="Arial"/>
        <family val="0"/>
        <charset val="1"/>
      </rPr>
      <t xml:space="preserve">/ Met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调整后）</t>
    </r>
  </si>
  <si>
    <t xml:space="preserve">2026-02-26</t>
  </si>
  <si>
    <r>
      <rPr>
        <sz val="10"/>
        <rFont val="Arial"/>
        <family val="0"/>
        <charset val="1"/>
      </rPr>
      <t xml:space="preserve">①FY2026 </t>
    </r>
    <r>
      <rPr>
        <sz val="10"/>
        <rFont val="DejaVu Sans"/>
        <family val="2"/>
      </rPr>
      <t xml:space="preserve">暂未给具体美元区间，定性「保持强劲增长」；②</t>
    </r>
    <r>
      <rPr>
        <sz val="10"/>
        <rFont val="Arial"/>
        <family val="0"/>
        <charset val="1"/>
      </rPr>
      <t xml:space="preserve">KarXT </t>
    </r>
    <r>
      <rPr>
        <sz val="10"/>
        <rFont val="DejaVu Sans"/>
        <family val="2"/>
      </rPr>
      <t xml:space="preserve">商业化、</t>
    </r>
    <r>
      <rPr>
        <sz val="10"/>
        <rFont val="Arial"/>
        <family val="0"/>
        <charset val="1"/>
      </rPr>
      <t xml:space="preserve">povetacicept / elegrobart </t>
    </r>
    <r>
      <rPr>
        <sz val="10"/>
        <rFont val="DejaVu Sans"/>
        <family val="2"/>
      </rPr>
      <t xml:space="preserve">关键数据读出</t>
    </r>
  </si>
  <si>
    <t xml:space="preserve">Pending</t>
  </si>
  <si>
    <r>
      <rPr>
        <b val="true"/>
        <sz val="14"/>
        <color rgb="FF1F4E78"/>
        <rFont val="DejaVu Sans"/>
        <family val="2"/>
      </rPr>
      <t xml:space="preserve">营收数据 — 指引中位数 </t>
    </r>
    <r>
      <rPr>
        <b val="true"/>
        <sz val="14"/>
        <color rgb="FF1F4E78"/>
        <rFont val="Arial"/>
        <family val="0"/>
        <charset val="1"/>
      </rPr>
      <t xml:space="preserve">vs </t>
    </r>
    <r>
      <rPr>
        <b val="true"/>
        <sz val="14"/>
        <color rgb="FF1F4E78"/>
        <rFont val="DejaVu Sans"/>
        <family val="2"/>
      </rPr>
      <t xml:space="preserve">实际（</t>
    </r>
    <r>
      <rPr>
        <b val="true"/>
        <sz val="14"/>
        <color rgb="FF1F4E78"/>
        <rFont val="Arial"/>
        <family val="0"/>
        <charset val="1"/>
      </rPr>
      <t xml:space="preserve">USD </t>
    </r>
    <r>
      <rPr>
        <b val="true"/>
        <sz val="14"/>
        <color rgb="FF1F4E78"/>
        <rFont val="DejaVu Sans"/>
        <family val="2"/>
      </rPr>
      <t xml:space="preserve">百万）</t>
    </r>
  </si>
  <si>
    <t xml:space="preserve">原指引下限</t>
  </si>
  <si>
    <t xml:space="preserve">原指引上限</t>
  </si>
  <si>
    <t xml:space="preserve">原指引中位数</t>
  </si>
  <si>
    <t xml:space="preserve">实际值</t>
  </si>
  <si>
    <r>
      <rPr>
        <b val="true"/>
        <sz val="11"/>
        <color rgb="FFFFFFFF"/>
        <rFont val="DejaVu Sans"/>
        <family val="2"/>
      </rPr>
      <t xml:space="preserve">完成率（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DejaVu Sans"/>
        <family val="2"/>
      </rPr>
      <t xml:space="preserve">中位数）</t>
    </r>
  </si>
  <si>
    <r>
      <rPr>
        <i val="true"/>
        <sz val="10"/>
        <color rgb="FFC00000"/>
        <rFont val="DejaVu Sans"/>
        <family val="2"/>
      </rPr>
      <t xml:space="preserve">结论：再鼎医药仅在 </t>
    </r>
    <r>
      <rPr>
        <i val="true"/>
        <sz val="10"/>
        <color rgb="FFC00000"/>
        <rFont val="Arial"/>
        <family val="0"/>
        <charset val="1"/>
      </rPr>
      <t xml:space="preserve">FY2025 </t>
    </r>
    <r>
      <rPr>
        <i val="true"/>
        <sz val="10"/>
        <color rgb="FFC00000"/>
        <rFont val="DejaVu Sans"/>
        <family val="2"/>
      </rPr>
      <t xml:space="preserve">给出过明确的全年美元区间指引（</t>
    </r>
    <r>
      <rPr>
        <i val="true"/>
        <sz val="10"/>
        <color rgb="FFC00000"/>
        <rFont val="Arial"/>
        <family val="0"/>
        <charset val="1"/>
      </rPr>
      <t xml:space="preserve">$560-590M</t>
    </r>
    <r>
      <rPr>
        <i val="true"/>
        <sz val="10"/>
        <color rgb="FFC00000"/>
        <rFont val="DejaVu Sans"/>
        <family val="2"/>
      </rPr>
      <t xml:space="preserve">），实际完成 </t>
    </r>
    <r>
      <rPr>
        <i val="true"/>
        <sz val="10"/>
        <color rgb="FFC00000"/>
        <rFont val="Arial"/>
        <family val="0"/>
        <charset val="1"/>
      </rPr>
      <t xml:space="preserve">78-82%</t>
    </r>
    <r>
      <rPr>
        <i val="true"/>
        <sz val="10"/>
        <color rgb="FFC00000"/>
        <rFont val="DejaVu Sans"/>
        <family val="2"/>
      </rPr>
      <t xml:space="preserve">，明确 </t>
    </r>
    <r>
      <rPr>
        <i val="true"/>
        <sz val="10"/>
        <color rgb="FFC00000"/>
        <rFont val="Arial"/>
        <family val="0"/>
        <charset val="1"/>
      </rPr>
      <t xml:space="preserve">Miss</t>
    </r>
    <r>
      <rPr>
        <i val="true"/>
        <sz val="10"/>
        <color rgb="FFC00000"/>
        <rFont val="DejaVu Sans"/>
        <family val="2"/>
      </rPr>
      <t xml:space="preserve">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</si>
</sst>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"/>
    <numFmt numFmtId="167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DejaVu Sans"/>
      <family val="2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DejaVu Sans"/>
      <family val="2"/>
    </font>
    <font>
      <i val="true"/>
      <sz val="10"/>
      <color rgb="FF595959"/>
      <name val="Arial"/>
      <family val="0"/>
      <charset val="1"/>
    </font>
    <font>
      <b val="true"/>
      <sz val="1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DejaVu Sans"/>
      <family val="2"/>
    </font>
    <font>
      <i val="true"/>
      <sz val="10"/>
      <color rgb="FFC00000"/>
      <name val="DejaVu Sans"/>
      <family val="2"/>
    </font>
    <font>
      <i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F8CBAD"/>
        <bgColor rgb="FFFFEB9C"/>
      </patternFill>
    </fill>
    <fill>
      <patternFill patternType="solid">
        <fgColor rgb="FFE7E6E6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4" min="3" style="0" width="30"/>
    <col collapsed="false" customWidth="true" hidden="false" outlineLevel="0" max="5" min="5" style="0" width="1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5" t="s">
        <v>8</v>
      </c>
    </row>
    <row r="6" customFormat="false" ht="15" hidden="false" customHeight="false" outlineLevel="0" collapsed="false">
      <c r="A6" s="6" t="s">
        <v>9</v>
      </c>
      <c r="B6" s="7" t="n">
        <v>3</v>
      </c>
      <c r="C6" s="7" t="n">
        <v>1</v>
      </c>
      <c r="D6" s="7" t="n">
        <v>1</v>
      </c>
      <c r="E6" s="7" t="n">
        <v>1</v>
      </c>
      <c r="F6" s="8" t="n">
        <f aca="false">D6/B6</f>
        <v>0.333333333333333</v>
      </c>
    </row>
    <row r="7" customFormat="false" ht="15" hidden="false" customHeight="false" outlineLevel="0" collapsed="false">
      <c r="A7" s="6" t="s">
        <v>10</v>
      </c>
      <c r="B7" s="7" t="n">
        <v>4</v>
      </c>
      <c r="C7" s="7" t="n">
        <v>0</v>
      </c>
      <c r="D7" s="7" t="n">
        <v>4</v>
      </c>
      <c r="E7" s="7" t="n">
        <v>2</v>
      </c>
      <c r="F7" s="8" t="n">
        <f aca="false">D7/B7</f>
        <v>1</v>
      </c>
    </row>
    <row r="8" customFormat="false" ht="15" hidden="false" customHeight="false" outlineLevel="0" collapsed="false">
      <c r="A8" s="6" t="s">
        <v>11</v>
      </c>
      <c r="B8" s="7" t="n">
        <v>5</v>
      </c>
      <c r="C8" s="7" t="n">
        <v>3</v>
      </c>
      <c r="D8" s="7" t="n">
        <v>1</v>
      </c>
      <c r="E8" s="7" t="n">
        <v>1</v>
      </c>
      <c r="F8" s="8" t="n">
        <f aca="false">D8/B8</f>
        <v>0.2</v>
      </c>
    </row>
    <row r="9" customFormat="false" ht="15" hidden="false" customHeight="false" outlineLevel="0" collapsed="false">
      <c r="A9" s="6" t="s">
        <v>12</v>
      </c>
      <c r="B9" s="7" t="n">
        <v>7</v>
      </c>
      <c r="C9" s="7" t="n">
        <v>5</v>
      </c>
      <c r="D9" s="7" t="n">
        <v>1</v>
      </c>
      <c r="E9" s="7" t="n">
        <v>1</v>
      </c>
      <c r="F9" s="8" t="n">
        <f aca="false">D9/B9</f>
        <v>0.142857142857143</v>
      </c>
    </row>
    <row r="10" customFormat="false" ht="15" hidden="false" customHeight="false" outlineLevel="0" collapsed="false">
      <c r="A10" s="6" t="s">
        <v>13</v>
      </c>
      <c r="B10" s="7" t="n">
        <v>4</v>
      </c>
      <c r="C10" s="7" t="n">
        <v>0</v>
      </c>
      <c r="D10" s="7" t="n">
        <v>3</v>
      </c>
      <c r="E10" s="7" t="n">
        <v>1</v>
      </c>
      <c r="F10" s="8" t="n">
        <f aca="false">D10/B10</f>
        <v>0.75</v>
      </c>
    </row>
    <row r="11" customFormat="false" ht="15" hidden="false" customHeight="false" outlineLevel="0" collapsed="false">
      <c r="A11" s="9" t="s">
        <v>14</v>
      </c>
      <c r="B11" s="10" t="n">
        <f aca="false">SUM(B6:B10)</f>
        <v>23</v>
      </c>
      <c r="C11" s="10" t="n">
        <f aca="false">SUM(C6:C10)</f>
        <v>9</v>
      </c>
      <c r="D11" s="10" t="n">
        <f aca="false">SUM(D6:D10)</f>
        <v>10</v>
      </c>
      <c r="E11" s="10" t="n">
        <f aca="false">SUM(E6:E10)</f>
        <v>6</v>
      </c>
      <c r="F11" s="11" t="n">
        <f aca="false">D11/B11</f>
        <v>0.434782608695652</v>
      </c>
    </row>
    <row r="13" customFormat="false" ht="12.65" hidden="false" customHeight="false" outlineLevel="0" collapsed="false">
      <c r="A13" s="3" t="s">
        <v>15</v>
      </c>
      <c r="B13" s="3"/>
      <c r="C13" s="3"/>
      <c r="D13" s="3"/>
      <c r="E13" s="3"/>
      <c r="F13" s="3"/>
    </row>
    <row r="14" customFormat="false" ht="49.5" hidden="false" customHeight="true" outlineLevel="0" collapsed="false">
      <c r="A14" s="5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customFormat="false" ht="49.5" hidden="false" customHeight="true" outlineLevel="0" collapsed="false">
      <c r="A15" s="12" t="s">
        <v>22</v>
      </c>
      <c r="B15" s="12" t="s">
        <v>23</v>
      </c>
      <c r="C15" s="12" t="s">
        <v>24</v>
      </c>
      <c r="D15" s="12" t="s">
        <v>25</v>
      </c>
      <c r="E15" s="13" t="s">
        <v>26</v>
      </c>
      <c r="F15" s="13" t="s">
        <v>27</v>
      </c>
    </row>
    <row r="16" customFormat="false" ht="49.5" hidden="false" customHeight="true" outlineLevel="0" collapsed="false">
      <c r="A16" s="12" t="s">
        <v>28</v>
      </c>
      <c r="B16" s="12" t="s">
        <v>29</v>
      </c>
      <c r="C16" s="12" t="s">
        <v>30</v>
      </c>
      <c r="D16" s="12" t="s">
        <v>31</v>
      </c>
      <c r="E16" s="13" t="s">
        <v>32</v>
      </c>
      <c r="F16" s="13" t="s">
        <v>33</v>
      </c>
    </row>
    <row r="17" customFormat="false" ht="49.5" hidden="false" customHeight="true" outlineLevel="0" collapsed="false">
      <c r="A17" s="12" t="s">
        <v>34</v>
      </c>
      <c r="B17" s="12" t="s">
        <v>35</v>
      </c>
      <c r="C17" s="12" t="s">
        <v>36</v>
      </c>
      <c r="D17" s="13" t="s">
        <v>37</v>
      </c>
      <c r="E17" s="13" t="s">
        <v>38</v>
      </c>
      <c r="F17" s="13" t="s">
        <v>39</v>
      </c>
    </row>
    <row r="18" customFormat="false" ht="49.5" hidden="false" customHeight="true" outlineLevel="0" collapsed="false">
      <c r="A18" s="12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3" t="s">
        <v>45</v>
      </c>
    </row>
    <row r="19" customFormat="false" ht="49.5" hidden="false" customHeight="true" outlineLevel="0" collapsed="false">
      <c r="A19" s="14" t="s">
        <v>46</v>
      </c>
      <c r="B19" s="14" t="s">
        <v>47</v>
      </c>
      <c r="C19" s="15" t="s">
        <v>48</v>
      </c>
      <c r="D19" s="15" t="s">
        <v>49</v>
      </c>
      <c r="E19" s="14" t="s">
        <v>50</v>
      </c>
      <c r="F19" s="15" t="s">
        <v>51</v>
      </c>
    </row>
    <row r="20" customFormat="false" ht="49.5" hidden="false" customHeight="true" outlineLevel="0" collapsed="false">
      <c r="A20" s="16" t="s">
        <v>52</v>
      </c>
      <c r="B20" s="16" t="s">
        <v>53</v>
      </c>
      <c r="C20" s="17" t="s">
        <v>54</v>
      </c>
      <c r="D20" s="16" t="s">
        <v>55</v>
      </c>
      <c r="E20" s="16" t="s">
        <v>56</v>
      </c>
      <c r="F20" s="16" t="s">
        <v>57</v>
      </c>
    </row>
    <row r="22" customFormat="false" ht="15" hidden="false" customHeight="false" outlineLevel="0" collapsed="false">
      <c r="A22" s="18" t="s">
        <v>58</v>
      </c>
    </row>
    <row r="23" customFormat="false" ht="15" hidden="false" customHeight="false" outlineLevel="0" collapsed="false">
      <c r="A23" s="19" t="s">
        <v>59</v>
      </c>
    </row>
    <row r="24" customFormat="false" ht="15" hidden="false" customHeight="false" outlineLevel="0" collapsed="false">
      <c r="A24" s="20" t="s">
        <v>60</v>
      </c>
    </row>
    <row r="25" customFormat="false" ht="15" hidden="false" customHeight="false" outlineLevel="0" collapsed="false">
      <c r="A25" s="21" t="s">
        <v>61</v>
      </c>
    </row>
    <row r="26" customFormat="false" ht="15" hidden="false" customHeight="false" outlineLevel="0" collapsed="false">
      <c r="A26" s="22" t="s">
        <v>62</v>
      </c>
    </row>
    <row r="28" customFormat="false" ht="15" hidden="false" customHeight="false" outlineLevel="0" collapsed="false">
      <c r="A28" s="18" t="s">
        <v>63</v>
      </c>
    </row>
    <row r="29" customFormat="false" ht="11.9" hidden="false" customHeight="false" outlineLevel="0" collapsed="false">
      <c r="A29" s="23" t="s">
        <v>64</v>
      </c>
      <c r="B29" s="23"/>
      <c r="C29" s="23"/>
      <c r="D29" s="23"/>
      <c r="E29" s="23"/>
      <c r="F29" s="23"/>
    </row>
    <row r="30" customFormat="false" ht="11.9" hidden="false" customHeight="false" outlineLevel="0" collapsed="false">
      <c r="A30" s="23" t="s">
        <v>65</v>
      </c>
      <c r="B30" s="23"/>
      <c r="C30" s="23"/>
      <c r="D30" s="23"/>
      <c r="E30" s="23"/>
      <c r="F30" s="23"/>
    </row>
    <row r="31" customFormat="false" ht="11.9" hidden="false" customHeight="false" outlineLevel="0" collapsed="false">
      <c r="A31" s="23" t="s">
        <v>66</v>
      </c>
      <c r="B31" s="23"/>
      <c r="C31" s="23"/>
      <c r="D31" s="23"/>
      <c r="E31" s="23"/>
      <c r="F31" s="23"/>
    </row>
    <row r="32" customFormat="false" ht="11.9" hidden="false" customHeight="false" outlineLevel="0" collapsed="false">
      <c r="A32" s="23" t="s">
        <v>67</v>
      </c>
      <c r="B32" s="23"/>
      <c r="C32" s="23"/>
      <c r="D32" s="23"/>
      <c r="E32" s="23"/>
      <c r="F32" s="23"/>
    </row>
    <row r="33" customFormat="false" ht="11.9" hidden="false" customHeight="false" outlineLevel="0" collapsed="false">
      <c r="A33" s="23" t="s">
        <v>68</v>
      </c>
      <c r="B33" s="23"/>
      <c r="C33" s="23"/>
      <c r="D33" s="23"/>
      <c r="E33" s="23"/>
      <c r="F33" s="23"/>
    </row>
    <row r="34" customFormat="false" ht="11.9" hidden="false" customHeight="false" outlineLevel="0" collapsed="false">
      <c r="A34" s="23" t="s">
        <v>69</v>
      </c>
      <c r="B34" s="23"/>
      <c r="C34" s="23"/>
      <c r="D34" s="23"/>
      <c r="E34" s="23"/>
      <c r="F34" s="23"/>
    </row>
    <row r="35" customFormat="false" ht="11.9" hidden="false" customHeight="false" outlineLevel="0" collapsed="false">
      <c r="A35" s="24" t="s">
        <v>70</v>
      </c>
      <c r="B35" s="24"/>
      <c r="C35" s="24"/>
      <c r="D35" s="24"/>
      <c r="E35" s="24"/>
      <c r="F35" s="24"/>
    </row>
  </sheetData>
  <mergeCells count="11">
    <mergeCell ref="A1:F1"/>
    <mergeCell ref="A2:F2"/>
    <mergeCell ref="A4:F4"/>
    <mergeCell ref="A13:F13"/>
    <mergeCell ref="A29:F29"/>
    <mergeCell ref="A30:F30"/>
    <mergeCell ref="A31:F31"/>
    <mergeCell ref="A32:F32"/>
    <mergeCell ref="A33:F33"/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8" min="6" style="0" width="28"/>
  </cols>
  <sheetData>
    <row r="1" customFormat="false" ht="17.9" hidden="false" customHeight="false" outlineLevel="0" collapsed="false">
      <c r="A1" s="25" t="s">
        <v>71</v>
      </c>
      <c r="B1" s="25"/>
      <c r="C1" s="25"/>
      <c r="D1" s="25"/>
      <c r="E1" s="25"/>
      <c r="F1" s="25"/>
      <c r="G1" s="25"/>
      <c r="H1" s="25"/>
    </row>
    <row r="3" customFormat="false" ht="28.35" hidden="false" customHeight="false" outlineLevel="0" collapsed="false">
      <c r="A3" s="4" t="s">
        <v>72</v>
      </c>
      <c r="B3" s="4" t="s">
        <v>73</v>
      </c>
      <c r="C3" s="4" t="s">
        <v>74</v>
      </c>
      <c r="D3" s="4" t="s">
        <v>75</v>
      </c>
      <c r="E3" s="5" t="s">
        <v>76</v>
      </c>
      <c r="F3" s="5" t="s">
        <v>77</v>
      </c>
      <c r="G3" s="4" t="s">
        <v>78</v>
      </c>
      <c r="H3" s="4" t="s">
        <v>79</v>
      </c>
    </row>
    <row r="4" customFormat="false" ht="60" hidden="false" customHeight="true" outlineLevel="0" collapsed="false">
      <c r="A4" s="12" t="s">
        <v>80</v>
      </c>
      <c r="B4" s="13" t="s">
        <v>81</v>
      </c>
      <c r="C4" s="13" t="s">
        <v>82</v>
      </c>
      <c r="D4" s="12" t="s">
        <v>83</v>
      </c>
      <c r="E4" s="12" t="s">
        <v>84</v>
      </c>
      <c r="F4" s="12" t="s">
        <v>85</v>
      </c>
      <c r="G4" s="13" t="s">
        <v>86</v>
      </c>
      <c r="H4" s="12" t="s">
        <v>87</v>
      </c>
    </row>
    <row r="5" customFormat="false" ht="60" hidden="false" customHeight="true" outlineLevel="0" collapsed="false">
      <c r="A5" s="26" t="s">
        <v>88</v>
      </c>
      <c r="B5" s="26" t="s">
        <v>89</v>
      </c>
      <c r="C5" s="27" t="s">
        <v>90</v>
      </c>
      <c r="D5" s="26" t="s">
        <v>91</v>
      </c>
      <c r="E5" s="26" t="s">
        <v>92</v>
      </c>
      <c r="F5" s="26" t="s">
        <v>85</v>
      </c>
      <c r="G5" s="27" t="s">
        <v>93</v>
      </c>
      <c r="H5" s="26" t="s">
        <v>47</v>
      </c>
    </row>
    <row r="6" customFormat="false" ht="60" hidden="false" customHeight="true" outlineLevel="0" collapsed="false">
      <c r="A6" s="12" t="s">
        <v>94</v>
      </c>
      <c r="B6" s="12" t="s">
        <v>95</v>
      </c>
      <c r="C6" s="13" t="s">
        <v>96</v>
      </c>
      <c r="D6" s="12" t="s">
        <v>97</v>
      </c>
      <c r="E6" s="12" t="s">
        <v>98</v>
      </c>
      <c r="F6" s="12" t="s">
        <v>85</v>
      </c>
      <c r="G6" s="12" t="s">
        <v>99</v>
      </c>
      <c r="H6" s="12" t="s">
        <v>100</v>
      </c>
    </row>
    <row r="7" customFormat="false" ht="60" hidden="false" customHeight="true" outlineLevel="0" collapsed="false">
      <c r="A7" s="26" t="s">
        <v>101</v>
      </c>
      <c r="B7" s="26" t="s">
        <v>102</v>
      </c>
      <c r="C7" s="27" t="s">
        <v>103</v>
      </c>
      <c r="D7" s="26" t="s">
        <v>104</v>
      </c>
      <c r="E7" s="26" t="s">
        <v>105</v>
      </c>
      <c r="F7" s="26" t="s">
        <v>85</v>
      </c>
      <c r="G7" s="27" t="s">
        <v>106</v>
      </c>
      <c r="H7" s="26" t="s">
        <v>107</v>
      </c>
    </row>
    <row r="8" customFormat="false" ht="60" hidden="false" customHeight="true" outlineLevel="0" collapsed="false">
      <c r="A8" s="16" t="s">
        <v>108</v>
      </c>
      <c r="B8" s="16" t="s">
        <v>53</v>
      </c>
      <c r="C8" s="17" t="s">
        <v>109</v>
      </c>
      <c r="D8" s="16" t="s">
        <v>110</v>
      </c>
      <c r="E8" s="16" t="s">
        <v>111</v>
      </c>
      <c r="F8" s="17" t="s">
        <v>112</v>
      </c>
      <c r="G8" s="16" t="s">
        <v>113</v>
      </c>
      <c r="H8" s="16" t="s">
        <v>114</v>
      </c>
    </row>
    <row r="9" customFormat="false" ht="60" hidden="false" customHeight="true" outlineLevel="0" collapsed="false">
      <c r="A9" s="14" t="s">
        <v>115</v>
      </c>
      <c r="B9" s="14" t="s">
        <v>116</v>
      </c>
      <c r="C9" s="15" t="s">
        <v>117</v>
      </c>
      <c r="D9" s="14" t="s">
        <v>50</v>
      </c>
      <c r="E9" s="14" t="s">
        <v>50</v>
      </c>
      <c r="F9" s="14" t="s">
        <v>50</v>
      </c>
      <c r="G9" s="15" t="s">
        <v>118</v>
      </c>
      <c r="H9" s="14" t="s">
        <v>119</v>
      </c>
    </row>
    <row r="10" customFormat="false" ht="60" hidden="false" customHeight="true" outlineLevel="0" collapsed="false">
      <c r="A10" s="12" t="s">
        <v>120</v>
      </c>
      <c r="B10" s="12" t="s">
        <v>121</v>
      </c>
      <c r="C10" s="13" t="s">
        <v>122</v>
      </c>
      <c r="D10" s="12" t="s">
        <v>50</v>
      </c>
      <c r="E10" s="12" t="s">
        <v>50</v>
      </c>
      <c r="F10" s="13" t="s">
        <v>123</v>
      </c>
      <c r="G10" s="12" t="s">
        <v>124</v>
      </c>
      <c r="H10" s="12" t="s">
        <v>125</v>
      </c>
    </row>
    <row r="11" customFormat="false" ht="60" hidden="false" customHeight="true" outlineLevel="0" collapsed="false">
      <c r="A11" s="12" t="s">
        <v>126</v>
      </c>
      <c r="B11" s="12" t="s">
        <v>127</v>
      </c>
      <c r="C11" s="13" t="s">
        <v>128</v>
      </c>
      <c r="D11" s="12" t="s">
        <v>129</v>
      </c>
      <c r="E11" s="12" t="s">
        <v>130</v>
      </c>
      <c r="F11" s="13" t="s">
        <v>131</v>
      </c>
      <c r="G11" s="12" t="s">
        <v>132</v>
      </c>
      <c r="H11" s="12" t="s">
        <v>133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17.9" hidden="false" customHeight="false" outlineLevel="0" collapsed="false">
      <c r="A1" s="1" t="s">
        <v>134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73</v>
      </c>
      <c r="B3" s="4" t="s">
        <v>135</v>
      </c>
      <c r="C3" s="4" t="s">
        <v>136</v>
      </c>
      <c r="D3" s="4" t="s">
        <v>137</v>
      </c>
      <c r="E3" s="4" t="s">
        <v>138</v>
      </c>
      <c r="F3" s="4" t="s">
        <v>78</v>
      </c>
      <c r="G3" s="4" t="s">
        <v>139</v>
      </c>
    </row>
    <row r="4" customFormat="false" ht="69.75" hidden="false" customHeight="true" outlineLevel="0" collapsed="false">
      <c r="A4" s="12" t="s">
        <v>140</v>
      </c>
      <c r="B4" s="12" t="s">
        <v>141</v>
      </c>
      <c r="C4" s="12" t="s">
        <v>142</v>
      </c>
      <c r="D4" s="12" t="s">
        <v>143</v>
      </c>
      <c r="E4" s="13" t="s">
        <v>144</v>
      </c>
      <c r="F4" s="12" t="s">
        <v>145</v>
      </c>
      <c r="G4" s="13" t="s">
        <v>146</v>
      </c>
    </row>
    <row r="5" customFormat="false" ht="69.75" hidden="false" customHeight="true" outlineLevel="0" collapsed="false">
      <c r="A5" s="12" t="s">
        <v>147</v>
      </c>
      <c r="B5" s="12" t="s">
        <v>148</v>
      </c>
      <c r="C5" s="12" t="s">
        <v>149</v>
      </c>
      <c r="D5" s="13" t="s">
        <v>150</v>
      </c>
      <c r="E5" s="12" t="s">
        <v>151</v>
      </c>
      <c r="F5" s="12" t="s">
        <v>152</v>
      </c>
      <c r="G5" s="12" t="s">
        <v>153</v>
      </c>
    </row>
    <row r="6" customFormat="false" ht="69.75" hidden="false" customHeight="true" outlineLevel="0" collapsed="false">
      <c r="A6" s="12" t="s">
        <v>154</v>
      </c>
      <c r="B6" s="12" t="s">
        <v>155</v>
      </c>
      <c r="C6" s="12" t="s">
        <v>156</v>
      </c>
      <c r="D6" s="13" t="s">
        <v>157</v>
      </c>
      <c r="E6" s="13" t="s">
        <v>158</v>
      </c>
      <c r="F6" s="12" t="s">
        <v>159</v>
      </c>
      <c r="G6" s="12" t="s">
        <v>160</v>
      </c>
    </row>
    <row r="7" customFormat="false" ht="69.75" hidden="false" customHeight="true" outlineLevel="0" collapsed="false">
      <c r="A7" s="12" t="s">
        <v>161</v>
      </c>
      <c r="B7" s="12" t="s">
        <v>162</v>
      </c>
      <c r="C7" s="12" t="s">
        <v>163</v>
      </c>
      <c r="D7" s="12" t="s">
        <v>164</v>
      </c>
      <c r="E7" s="12" t="s">
        <v>31</v>
      </c>
      <c r="F7" s="12" t="s">
        <v>165</v>
      </c>
      <c r="G7" s="12" t="s">
        <v>166</v>
      </c>
    </row>
    <row r="8" customFormat="false" ht="69.75" hidden="false" customHeight="true" outlineLevel="0" collapsed="false">
      <c r="A8" s="12" t="s">
        <v>167</v>
      </c>
      <c r="B8" s="12" t="s">
        <v>168</v>
      </c>
      <c r="C8" s="13" t="s">
        <v>169</v>
      </c>
      <c r="D8" s="12" t="s">
        <v>164</v>
      </c>
      <c r="E8" s="12" t="s">
        <v>170</v>
      </c>
      <c r="F8" s="12" t="s">
        <v>171</v>
      </c>
      <c r="G8" s="12" t="s">
        <v>172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17.9" hidden="false" customHeight="false" outlineLevel="0" collapsed="false">
      <c r="A1" s="1" t="s">
        <v>173</v>
      </c>
      <c r="B1" s="1"/>
      <c r="C1" s="1"/>
      <c r="D1" s="1"/>
      <c r="E1" s="1"/>
      <c r="F1" s="1"/>
      <c r="G1" s="1"/>
      <c r="H1" s="1"/>
    </row>
    <row r="3" customFormat="false" ht="28.35" hidden="false" customHeight="false" outlineLevel="0" collapsed="false">
      <c r="A3" s="4" t="s">
        <v>174</v>
      </c>
      <c r="B3" s="4" t="s">
        <v>73</v>
      </c>
      <c r="C3" s="4" t="s">
        <v>175</v>
      </c>
      <c r="D3" s="4" t="s">
        <v>176</v>
      </c>
      <c r="E3" s="4" t="s">
        <v>177</v>
      </c>
      <c r="F3" s="5" t="s">
        <v>77</v>
      </c>
      <c r="G3" s="4" t="s">
        <v>78</v>
      </c>
      <c r="H3" s="4" t="s">
        <v>178</v>
      </c>
    </row>
    <row r="4" customFormat="false" ht="54.75" hidden="false" customHeight="true" outlineLevel="0" collapsed="false">
      <c r="A4" s="17" t="s">
        <v>179</v>
      </c>
      <c r="B4" s="16" t="s">
        <v>140</v>
      </c>
      <c r="C4" s="17" t="s">
        <v>180</v>
      </c>
      <c r="D4" s="16" t="s">
        <v>94</v>
      </c>
      <c r="E4" s="16" t="s">
        <v>181</v>
      </c>
      <c r="F4" s="16" t="s">
        <v>50</v>
      </c>
      <c r="G4" s="16" t="s">
        <v>182</v>
      </c>
      <c r="H4" s="16" t="s">
        <v>100</v>
      </c>
    </row>
    <row r="5" customFormat="false" ht="54.75" hidden="false" customHeight="true" outlineLevel="0" collapsed="false">
      <c r="A5" s="27" t="s">
        <v>179</v>
      </c>
      <c r="B5" s="26" t="s">
        <v>183</v>
      </c>
      <c r="C5" s="27" t="s">
        <v>184</v>
      </c>
      <c r="D5" s="26" t="s">
        <v>101</v>
      </c>
      <c r="E5" s="26" t="s">
        <v>185</v>
      </c>
      <c r="F5" s="27" t="s">
        <v>186</v>
      </c>
      <c r="G5" s="26" t="s">
        <v>187</v>
      </c>
      <c r="H5" s="26" t="s">
        <v>107</v>
      </c>
    </row>
    <row r="6" customFormat="false" ht="54.75" hidden="false" customHeight="true" outlineLevel="0" collapsed="false">
      <c r="A6" s="13" t="s">
        <v>179</v>
      </c>
      <c r="B6" s="12" t="s">
        <v>188</v>
      </c>
      <c r="C6" s="13" t="s">
        <v>189</v>
      </c>
      <c r="D6" s="12" t="s">
        <v>108</v>
      </c>
      <c r="E6" s="12" t="s">
        <v>190</v>
      </c>
      <c r="F6" s="12" t="s">
        <v>50</v>
      </c>
      <c r="G6" s="12" t="s">
        <v>191</v>
      </c>
      <c r="H6" s="12" t="s">
        <v>192</v>
      </c>
    </row>
    <row r="7" customFormat="false" ht="54.75" hidden="false" customHeight="true" outlineLevel="0" collapsed="false">
      <c r="A7" s="17" t="s">
        <v>193</v>
      </c>
      <c r="B7" s="16" t="s">
        <v>188</v>
      </c>
      <c r="C7" s="17" t="s">
        <v>194</v>
      </c>
      <c r="D7" s="16" t="s">
        <v>108</v>
      </c>
      <c r="E7" s="16" t="s">
        <v>195</v>
      </c>
      <c r="F7" s="16" t="s">
        <v>196</v>
      </c>
      <c r="G7" s="16" t="s">
        <v>197</v>
      </c>
      <c r="H7" s="16" t="s">
        <v>198</v>
      </c>
    </row>
    <row r="8" customFormat="false" ht="54.75" hidden="false" customHeight="true" outlineLevel="0" collapsed="false">
      <c r="A8" s="17" t="s">
        <v>193</v>
      </c>
      <c r="B8" s="16" t="s">
        <v>199</v>
      </c>
      <c r="C8" s="16" t="s">
        <v>200</v>
      </c>
      <c r="D8" s="16" t="s">
        <v>108</v>
      </c>
      <c r="E8" s="16" t="s">
        <v>195</v>
      </c>
      <c r="F8" s="16" t="s">
        <v>201</v>
      </c>
      <c r="G8" s="16" t="s">
        <v>202</v>
      </c>
      <c r="H8" s="16" t="s">
        <v>203</v>
      </c>
    </row>
    <row r="9" customFormat="false" ht="54.75" hidden="false" customHeight="true" outlineLevel="0" collapsed="false">
      <c r="A9" s="13" t="s">
        <v>193</v>
      </c>
      <c r="B9" s="12" t="s">
        <v>204</v>
      </c>
      <c r="C9" s="13" t="s">
        <v>205</v>
      </c>
      <c r="D9" s="12" t="s">
        <v>206</v>
      </c>
      <c r="E9" s="12" t="s">
        <v>207</v>
      </c>
      <c r="F9" s="12" t="s">
        <v>50</v>
      </c>
      <c r="G9" s="12" t="s">
        <v>208</v>
      </c>
      <c r="H9" s="12" t="s">
        <v>209</v>
      </c>
    </row>
    <row r="10" customFormat="false" ht="54.75" hidden="false" customHeight="true" outlineLevel="0" collapsed="false">
      <c r="A10" s="27" t="s">
        <v>210</v>
      </c>
      <c r="B10" s="26" t="s">
        <v>188</v>
      </c>
      <c r="C10" s="27" t="s">
        <v>211</v>
      </c>
      <c r="D10" s="26" t="s">
        <v>206</v>
      </c>
      <c r="E10" s="26" t="s">
        <v>212</v>
      </c>
      <c r="F10" s="26" t="s">
        <v>50</v>
      </c>
      <c r="G10" s="26" t="s">
        <v>213</v>
      </c>
      <c r="H10" s="26" t="s">
        <v>209</v>
      </c>
    </row>
    <row r="11" customFormat="false" ht="54.75" hidden="false" customHeight="true" outlineLevel="0" collapsed="false">
      <c r="A11" s="17" t="s">
        <v>214</v>
      </c>
      <c r="B11" s="16" t="s">
        <v>188</v>
      </c>
      <c r="C11" s="17" t="s">
        <v>215</v>
      </c>
      <c r="D11" s="16" t="s">
        <v>206</v>
      </c>
      <c r="E11" s="16" t="s">
        <v>216</v>
      </c>
      <c r="F11" s="17" t="s">
        <v>217</v>
      </c>
      <c r="G11" s="16" t="s">
        <v>218</v>
      </c>
      <c r="H11" s="16" t="s">
        <v>209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22"/>
  </cols>
  <sheetData>
    <row r="1" customFormat="false" ht="17.9" hidden="false" customHeight="false" outlineLevel="0" collapsed="false">
      <c r="A1" s="1" t="s">
        <v>219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220</v>
      </c>
      <c r="B3" s="4" t="s">
        <v>221</v>
      </c>
      <c r="C3" s="4" t="s">
        <v>175</v>
      </c>
      <c r="D3" s="4" t="s">
        <v>222</v>
      </c>
      <c r="E3" s="4" t="s">
        <v>19</v>
      </c>
      <c r="F3" s="4" t="s">
        <v>78</v>
      </c>
      <c r="G3" s="4" t="s">
        <v>178</v>
      </c>
    </row>
    <row r="4" customFormat="false" ht="60" hidden="false" customHeight="true" outlineLevel="0" collapsed="false">
      <c r="A4" s="26" t="s">
        <v>223</v>
      </c>
      <c r="B4" s="26" t="s">
        <v>147</v>
      </c>
      <c r="C4" s="27" t="s">
        <v>224</v>
      </c>
      <c r="D4" s="26" t="s">
        <v>225</v>
      </c>
      <c r="E4" s="26" t="s">
        <v>226</v>
      </c>
      <c r="F4" s="26" t="s">
        <v>227</v>
      </c>
      <c r="G4" s="26" t="s">
        <v>228</v>
      </c>
    </row>
    <row r="5" customFormat="false" ht="60" hidden="false" customHeight="true" outlineLevel="0" collapsed="false">
      <c r="A5" s="16" t="s">
        <v>229</v>
      </c>
      <c r="B5" s="16" t="s">
        <v>183</v>
      </c>
      <c r="C5" s="17" t="s">
        <v>230</v>
      </c>
      <c r="D5" s="16" t="s">
        <v>231</v>
      </c>
      <c r="E5" s="16" t="s">
        <v>232</v>
      </c>
      <c r="F5" s="16" t="s">
        <v>233</v>
      </c>
      <c r="G5" s="16" t="s">
        <v>234</v>
      </c>
    </row>
    <row r="6" customFormat="false" ht="60" hidden="false" customHeight="true" outlineLevel="0" collapsed="false">
      <c r="A6" s="16" t="s">
        <v>235</v>
      </c>
      <c r="B6" s="16" t="s">
        <v>236</v>
      </c>
      <c r="C6" s="17" t="s">
        <v>237</v>
      </c>
      <c r="D6" s="16" t="s">
        <v>238</v>
      </c>
      <c r="E6" s="16" t="s">
        <v>239</v>
      </c>
      <c r="F6" s="16" t="s">
        <v>240</v>
      </c>
      <c r="G6" s="16" t="s">
        <v>241</v>
      </c>
    </row>
    <row r="7" customFormat="false" ht="60" hidden="false" customHeight="true" outlineLevel="0" collapsed="false">
      <c r="A7" s="26" t="s">
        <v>242</v>
      </c>
      <c r="B7" s="26" t="s">
        <v>243</v>
      </c>
      <c r="C7" s="27" t="s">
        <v>244</v>
      </c>
      <c r="D7" s="26" t="s">
        <v>245</v>
      </c>
      <c r="E7" s="26" t="s">
        <v>246</v>
      </c>
      <c r="F7" s="26" t="s">
        <v>187</v>
      </c>
      <c r="G7" s="26" t="s">
        <v>247</v>
      </c>
    </row>
    <row r="8" customFormat="false" ht="60" hidden="false" customHeight="true" outlineLevel="0" collapsed="false">
      <c r="A8" s="26" t="s">
        <v>248</v>
      </c>
      <c r="B8" s="26" t="s">
        <v>188</v>
      </c>
      <c r="C8" s="27" t="s">
        <v>249</v>
      </c>
      <c r="D8" s="26" t="s">
        <v>250</v>
      </c>
      <c r="E8" s="26" t="s">
        <v>251</v>
      </c>
      <c r="F8" s="26" t="s">
        <v>187</v>
      </c>
      <c r="G8" s="26" t="s">
        <v>252</v>
      </c>
    </row>
    <row r="9" customFormat="false" ht="60" hidden="false" customHeight="true" outlineLevel="0" collapsed="false">
      <c r="A9" s="26" t="s">
        <v>253</v>
      </c>
      <c r="B9" s="26" t="s">
        <v>254</v>
      </c>
      <c r="C9" s="27" t="s">
        <v>255</v>
      </c>
      <c r="D9" s="26" t="s">
        <v>256</v>
      </c>
      <c r="E9" s="26" t="s">
        <v>257</v>
      </c>
      <c r="F9" s="26" t="s">
        <v>187</v>
      </c>
      <c r="G9" s="26" t="s">
        <v>258</v>
      </c>
    </row>
    <row r="10" customFormat="false" ht="60" hidden="false" customHeight="true" outlineLevel="0" collapsed="false">
      <c r="A10" s="15" t="s">
        <v>259</v>
      </c>
      <c r="B10" s="14" t="s">
        <v>102</v>
      </c>
      <c r="C10" s="14" t="s">
        <v>260</v>
      </c>
      <c r="D10" s="15" t="s">
        <v>261</v>
      </c>
      <c r="E10" s="15" t="s">
        <v>262</v>
      </c>
      <c r="F10" s="14" t="s">
        <v>263</v>
      </c>
      <c r="G10" s="14" t="s">
        <v>107</v>
      </c>
    </row>
    <row r="11" customFormat="false" ht="60" hidden="false" customHeight="true" outlineLevel="0" collapsed="false">
      <c r="A11" s="13" t="s">
        <v>264</v>
      </c>
      <c r="B11" s="12" t="s">
        <v>265</v>
      </c>
      <c r="C11" s="12" t="s">
        <v>266</v>
      </c>
      <c r="D11" s="12" t="s">
        <v>267</v>
      </c>
      <c r="E11" s="13" t="s">
        <v>268</v>
      </c>
      <c r="F11" s="12" t="s">
        <v>269</v>
      </c>
      <c r="G11" s="12" t="s">
        <v>270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" t="s">
        <v>271</v>
      </c>
      <c r="B1" s="1"/>
      <c r="C1" s="1"/>
      <c r="D1" s="1"/>
      <c r="E1" s="1"/>
    </row>
    <row r="3" customFormat="false" ht="15" hidden="false" customHeight="false" outlineLevel="0" collapsed="false">
      <c r="A3" s="4" t="s">
        <v>272</v>
      </c>
      <c r="B3" s="4" t="s">
        <v>273</v>
      </c>
      <c r="C3" s="4" t="s">
        <v>274</v>
      </c>
      <c r="D3" s="4" t="s">
        <v>275</v>
      </c>
      <c r="E3" s="4" t="s">
        <v>78</v>
      </c>
    </row>
    <row r="4" customFormat="false" ht="79.5" hidden="false" customHeight="true" outlineLevel="0" collapsed="false">
      <c r="A4" s="14" t="s">
        <v>276</v>
      </c>
      <c r="B4" s="15" t="s">
        <v>277</v>
      </c>
      <c r="C4" s="15" t="s">
        <v>278</v>
      </c>
      <c r="D4" s="15" t="s">
        <v>279</v>
      </c>
      <c r="E4" s="15" t="s">
        <v>280</v>
      </c>
    </row>
    <row r="5" customFormat="false" ht="79.5" hidden="false" customHeight="true" outlineLevel="0" collapsed="false">
      <c r="A5" s="12" t="s">
        <v>140</v>
      </c>
      <c r="B5" s="12" t="s">
        <v>281</v>
      </c>
      <c r="C5" s="12" t="s">
        <v>282</v>
      </c>
      <c r="D5" s="13" t="s">
        <v>283</v>
      </c>
      <c r="E5" s="12" t="s">
        <v>284</v>
      </c>
    </row>
    <row r="6" customFormat="false" ht="79.5" hidden="false" customHeight="true" outlineLevel="0" collapsed="false">
      <c r="A6" s="12" t="s">
        <v>147</v>
      </c>
      <c r="B6" s="12" t="s">
        <v>148</v>
      </c>
      <c r="C6" s="12" t="s">
        <v>285</v>
      </c>
      <c r="D6" s="12" t="s">
        <v>286</v>
      </c>
      <c r="E6" s="12" t="s">
        <v>287</v>
      </c>
    </row>
    <row r="7" customFormat="false" ht="79.5" hidden="false" customHeight="true" outlineLevel="0" collapsed="false">
      <c r="A7" s="12" t="s">
        <v>183</v>
      </c>
      <c r="B7" s="12" t="s">
        <v>288</v>
      </c>
      <c r="C7" s="12" t="s">
        <v>289</v>
      </c>
      <c r="D7" s="12" t="s">
        <v>290</v>
      </c>
      <c r="E7" s="12" t="s">
        <v>291</v>
      </c>
    </row>
    <row r="8" customFormat="false" ht="79.5" hidden="false" customHeight="true" outlineLevel="0" collapsed="false">
      <c r="A8" s="12" t="s">
        <v>188</v>
      </c>
      <c r="B8" s="12" t="s">
        <v>41</v>
      </c>
      <c r="C8" s="13" t="s">
        <v>292</v>
      </c>
      <c r="D8" s="13" t="s">
        <v>293</v>
      </c>
      <c r="E8" s="12" t="s">
        <v>294</v>
      </c>
    </row>
    <row r="9" customFormat="false" ht="79.5" hidden="false" customHeight="true" outlineLevel="0" collapsed="false">
      <c r="A9" s="16" t="s">
        <v>199</v>
      </c>
      <c r="B9" s="16" t="s">
        <v>295</v>
      </c>
      <c r="C9" s="16" t="s">
        <v>296</v>
      </c>
      <c r="D9" s="16" t="s">
        <v>297</v>
      </c>
      <c r="E9" s="16" t="s">
        <v>298</v>
      </c>
    </row>
    <row r="10" customFormat="false" ht="79.5" hidden="false" customHeight="true" outlineLevel="0" collapsed="false">
      <c r="A10" s="12" t="s">
        <v>299</v>
      </c>
      <c r="B10" s="12" t="s">
        <v>300</v>
      </c>
      <c r="C10" s="13" t="s">
        <v>301</v>
      </c>
      <c r="D10" s="12" t="s">
        <v>302</v>
      </c>
      <c r="E10" s="12" t="s">
        <v>303</v>
      </c>
    </row>
    <row r="11" customFormat="false" ht="79.5" hidden="false" customHeight="true" outlineLevel="0" collapsed="false">
      <c r="A11" s="12" t="s">
        <v>304</v>
      </c>
      <c r="B11" s="12" t="s">
        <v>305</v>
      </c>
      <c r="C11" s="12" t="s">
        <v>306</v>
      </c>
      <c r="D11" s="13" t="s">
        <v>307</v>
      </c>
      <c r="E11" s="12" t="s">
        <v>308</v>
      </c>
    </row>
    <row r="12" customFormat="false" ht="79.5" hidden="false" customHeight="true" outlineLevel="0" collapsed="false">
      <c r="A12" s="12" t="s">
        <v>309</v>
      </c>
      <c r="B12" s="12" t="s">
        <v>310</v>
      </c>
      <c r="C12" s="13" t="s">
        <v>311</v>
      </c>
      <c r="D12" s="12" t="s">
        <v>312</v>
      </c>
      <c r="E12" s="12" t="s">
        <v>313</v>
      </c>
    </row>
    <row r="13" customFormat="false" ht="79.5" hidden="false" customHeight="true" outlineLevel="0" collapsed="false">
      <c r="A13" s="12" t="s">
        <v>314</v>
      </c>
      <c r="B13" s="12" t="s">
        <v>168</v>
      </c>
      <c r="C13" s="12" t="s">
        <v>315</v>
      </c>
      <c r="D13" s="12" t="s">
        <v>316</v>
      </c>
      <c r="E13" s="12" t="s">
        <v>317</v>
      </c>
    </row>
    <row r="14" customFormat="false" ht="79.5" hidden="false" customHeight="true" outlineLevel="0" collapsed="false">
      <c r="A14" s="14" t="s">
        <v>318</v>
      </c>
      <c r="B14" s="14" t="s">
        <v>209</v>
      </c>
      <c r="C14" s="14" t="s">
        <v>319</v>
      </c>
      <c r="D14" s="15" t="s">
        <v>49</v>
      </c>
      <c r="E14" s="14" t="s">
        <v>320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7.9" hidden="false" customHeight="false" outlineLevel="0" collapsed="false">
      <c r="A1" s="1" t="s">
        <v>321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" t="s">
        <v>72</v>
      </c>
      <c r="B3" s="4" t="s">
        <v>322</v>
      </c>
      <c r="C3" s="4" t="s">
        <v>323</v>
      </c>
      <c r="D3" s="4" t="s">
        <v>324</v>
      </c>
      <c r="E3" s="4" t="s">
        <v>325</v>
      </c>
      <c r="F3" s="4" t="s">
        <v>326</v>
      </c>
    </row>
    <row r="4" customFormat="false" ht="15" hidden="false" customHeight="false" outlineLevel="0" collapsed="false">
      <c r="A4" s="28" t="n">
        <v>2020</v>
      </c>
      <c r="B4" s="29"/>
      <c r="C4" s="29"/>
      <c r="D4" s="29" t="str">
        <f aca="false">IFERROR(AVERAGE(B4:C4),"")</f>
        <v/>
      </c>
      <c r="E4" s="29" t="n">
        <v>49</v>
      </c>
      <c r="F4" s="8" t="str">
        <f aca="false">IFERROR(E4/D4,"")</f>
        <v/>
      </c>
    </row>
    <row r="5" customFormat="false" ht="15" hidden="false" customHeight="false" outlineLevel="0" collapsed="false">
      <c r="A5" s="28" t="n">
        <v>2021</v>
      </c>
      <c r="B5" s="29"/>
      <c r="C5" s="29"/>
      <c r="D5" s="29" t="str">
        <f aca="false">IFERROR(AVERAGE(B5:C5),"")</f>
        <v/>
      </c>
      <c r="E5" s="29" t="n">
        <v>144.1</v>
      </c>
      <c r="F5" s="8" t="str">
        <f aca="false">IFERROR(E5/D5,"")</f>
        <v/>
      </c>
    </row>
    <row r="6" customFormat="false" ht="15" hidden="false" customHeight="false" outlineLevel="0" collapsed="false">
      <c r="A6" s="28" t="n">
        <v>2022</v>
      </c>
      <c r="B6" s="29"/>
      <c r="C6" s="29"/>
      <c r="D6" s="29" t="str">
        <f aca="false">IFERROR(AVERAGE(B6:C6),"")</f>
        <v/>
      </c>
      <c r="E6" s="29" t="n">
        <v>215</v>
      </c>
      <c r="F6" s="8" t="str">
        <f aca="false">IFERROR(E6/D6,"")</f>
        <v/>
      </c>
    </row>
    <row r="7" customFormat="false" ht="15" hidden="false" customHeight="false" outlineLevel="0" collapsed="false">
      <c r="A7" s="28" t="n">
        <v>2023</v>
      </c>
      <c r="B7" s="29"/>
      <c r="C7" s="29"/>
      <c r="D7" s="29" t="str">
        <f aca="false">IFERROR(AVERAGE(B7:C7),"")</f>
        <v/>
      </c>
      <c r="E7" s="29" t="n">
        <v>266.7</v>
      </c>
      <c r="F7" s="8" t="str">
        <f aca="false">IFERROR(E7/D7,"")</f>
        <v/>
      </c>
    </row>
    <row r="8" customFormat="false" ht="15" hidden="false" customHeight="false" outlineLevel="0" collapsed="false">
      <c r="A8" s="28" t="n">
        <v>2024</v>
      </c>
      <c r="B8" s="29"/>
      <c r="C8" s="29"/>
      <c r="D8" s="29" t="str">
        <f aca="false">IFERROR(AVERAGE(B8:C8),"")</f>
        <v/>
      </c>
      <c r="E8" s="29" t="n">
        <v>399</v>
      </c>
      <c r="F8" s="8" t="str">
        <f aca="false">IFERROR(E8/D8,"")</f>
        <v/>
      </c>
    </row>
    <row r="9" customFormat="false" ht="15" hidden="false" customHeight="false" outlineLevel="0" collapsed="false">
      <c r="A9" s="28" t="n">
        <v>2025</v>
      </c>
      <c r="B9" s="29" t="n">
        <v>560</v>
      </c>
      <c r="C9" s="29" t="n">
        <v>590</v>
      </c>
      <c r="D9" s="29" t="n">
        <f aca="false">IFERROR(AVERAGE(B9:C9),"")</f>
        <v>575</v>
      </c>
      <c r="E9" s="29" t="n">
        <v>460.2</v>
      </c>
      <c r="F9" s="8" t="n">
        <f aca="false">IFERROR(E9/D9,"")</f>
        <v>0.800347826086957</v>
      </c>
    </row>
    <row r="12" customFormat="false" ht="12.65" hidden="false" customHeight="false" outlineLevel="0" collapsed="false">
      <c r="A12" s="30" t="s">
        <v>327</v>
      </c>
      <c r="B12" s="30"/>
      <c r="C12" s="30"/>
      <c r="D12" s="30"/>
      <c r="E12" s="30"/>
      <c r="F12" s="30"/>
    </row>
  </sheetData>
  <mergeCells count="2">
    <mergeCell ref="A1:F1"/>
    <mergeCell ref="A12:F12"/>
  </mergeCells>
  <conditionalFormatting sqref="F4:F9">
    <cfRule type="cellIs" priority="2" operator="lessThan" aboveAverage="0" equalAverage="0" bottom="0" percent="0" rank="0" text="" dxfId="0">
      <formula>1</formula>
    </cfRule>
    <cfRule type="cellIs" priority="3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2026-05-08T01:49:29Z</dcterms:created>
  <dc:creator>openpyxl</dc:creator>
  <dc:description/>
  <dc:language>en-US</dc:language>
  <cp:lastModifiedBy/>
  <dcterms:modified xsi:type="dcterms:W3CDTF">2026-05-08T01:49:29Z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