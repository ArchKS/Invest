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 tabRatio="500"/>
  </bookViews>
  <sheets>
    <sheet name="损益与分派" sheetId="1" r:id="rId1"/>
    <sheet name="资产负债(年末)" sheetId="2" r:id="rId2"/>
    <sheet name="分业态NPI" sheetId="3" r:id="rId3"/>
    <sheet name="NPI到可分派桥接" sheetId="6" r:id="rId4"/>
    <sheet name="Sheet1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<sst xmlns="http://schemas.openxmlformats.org/spreadsheetml/2006/main" count="171" uniqueCount="130">
  <si>
    <r>
      <rPr>
        <b/>
        <sz val="14"/>
        <rFont val="DejaVu Sans"/>
        <charset val="134"/>
      </rPr>
      <t xml:space="preserve">汇贤产业信托 </t>
    </r>
    <r>
      <rPr>
        <b/>
        <sz val="14"/>
        <rFont val="Arial"/>
        <charset val="1"/>
      </rPr>
      <t xml:space="preserve">(87001.HK) — </t>
    </r>
    <r>
      <rPr>
        <b/>
        <sz val="14"/>
        <rFont val="DejaVu Sans"/>
        <charset val="134"/>
      </rPr>
      <t xml:space="preserve">历年损益与分派 </t>
    </r>
    <r>
      <rPr>
        <b/>
        <sz val="14"/>
        <rFont val="Arial"/>
        <charset val="1"/>
      </rPr>
      <t>(2011</t>
    </r>
    <r>
      <rPr>
        <b/>
        <sz val="14"/>
        <rFont val="DejaVu Sans"/>
        <charset val="134"/>
      </rPr>
      <t>年上市至今</t>
    </r>
    <r>
      <rPr>
        <b/>
        <sz val="14"/>
        <rFont val="Arial"/>
        <charset val="1"/>
      </rPr>
      <t>)</t>
    </r>
  </si>
  <si>
    <r>
      <rPr>
        <i/>
        <sz val="8"/>
        <color rgb="FF666666"/>
        <rFont val="DejaVu Sans"/>
        <charset val="134"/>
      </rPr>
      <t>单位：人民币百万元（</t>
    </r>
    <r>
      <rPr>
        <i/>
        <sz val="8"/>
        <color rgb="FF666666"/>
        <rFont val="Arial"/>
        <charset val="1"/>
      </rPr>
      <t>DPU</t>
    </r>
    <r>
      <rPr>
        <i/>
        <sz val="8"/>
        <color rgb="FF666666"/>
        <rFont val="DejaVu Sans"/>
        <charset val="134"/>
      </rPr>
      <t>为人民币元</t>
    </r>
    <r>
      <rPr>
        <i/>
        <sz val="8"/>
        <color rgb="FF666666"/>
        <rFont val="Arial"/>
        <charset val="1"/>
      </rPr>
      <t>/</t>
    </r>
    <r>
      <rPr>
        <i/>
        <sz val="8"/>
        <color rgb="FF666666"/>
        <rFont val="DejaVu Sans"/>
        <charset val="134"/>
      </rPr>
      <t>每基金单位）。来源：历年年度业绩公告</t>
    </r>
    <r>
      <rPr>
        <i/>
        <sz val="8"/>
        <color rgb="FF666666"/>
        <rFont val="Arial"/>
        <charset val="1"/>
      </rPr>
      <t>/</t>
    </r>
    <r>
      <rPr>
        <i/>
        <sz val="8"/>
        <color rgb="FF666666"/>
        <rFont val="DejaVu Sans"/>
        <charset val="134"/>
      </rPr>
      <t>年报。蓝字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披露原值，黑字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公式。</t>
    </r>
  </si>
  <si>
    <t>亿</t>
  </si>
  <si>
    <t>百万</t>
  </si>
  <si>
    <t>财政年度</t>
  </si>
  <si>
    <t>总收益</t>
  </si>
  <si>
    <r>
      <rPr>
        <b/>
        <sz val="10"/>
        <color rgb="FFFFFFFF"/>
        <rFont val="DejaVu Sans"/>
        <charset val="134"/>
      </rPr>
      <t>物业收入净额</t>
    </r>
    <r>
      <rPr>
        <b/>
        <sz val="10"/>
        <color rgb="FFFFFFFF"/>
        <rFont val="Arial"/>
        <charset val="1"/>
      </rPr>
      <t>(NPI)</t>
    </r>
  </si>
  <si>
    <r>
      <rPr>
        <b/>
        <sz val="10"/>
        <color rgb="FFFFFFFF"/>
        <rFont val="Arial"/>
        <charset val="1"/>
      </rPr>
      <t>NPI</t>
    </r>
    <r>
      <rPr>
        <b/>
        <sz val="10"/>
        <color rgb="FFFFFFFF"/>
        <rFont val="DejaVu Sans"/>
        <charset val="134"/>
      </rPr>
      <t>利润率</t>
    </r>
  </si>
  <si>
    <t>可供分派额</t>
  </si>
  <si>
    <t>实际分派额</t>
  </si>
  <si>
    <t>分派比率</t>
  </si>
  <si>
    <r>
      <rPr>
        <b/>
        <sz val="10"/>
        <color rgb="FFFFFFFF"/>
        <rFont val="DejaVu Sans"/>
        <charset val="134"/>
      </rPr>
      <t>每单位分派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DejaVu Sans"/>
        <charset val="134"/>
      </rPr>
      <t>元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</si>
  <si>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Arial"/>
        <charset val="1"/>
      </rPr>
      <t>DPU</t>
    </r>
    <r>
      <rPr>
        <b/>
        <sz val="10"/>
        <color rgb="FFFFFFFF"/>
        <rFont val="DejaVu Sans"/>
        <charset val="134"/>
      </rPr>
      <t>同比</t>
    </r>
  </si>
  <si>
    <r>
      <t>NPI-</t>
    </r>
    <r>
      <rPr>
        <sz val="11"/>
        <color theme="1"/>
        <rFont val="宋体-简"/>
        <charset val="1"/>
      </rPr>
      <t>分派</t>
    </r>
  </si>
  <si>
    <t>港元债</t>
  </si>
  <si>
    <t>人民币债</t>
  </si>
  <si>
    <t>总债务</t>
  </si>
  <si>
    <t>还款</t>
  </si>
  <si>
    <r>
      <t>分派</t>
    </r>
    <r>
      <rPr>
        <sz val="11"/>
        <color theme="1"/>
        <rFont val="Calibri"/>
        <charset val="1"/>
      </rPr>
      <t>+</t>
    </r>
    <r>
      <rPr>
        <sz val="11"/>
        <color theme="1"/>
        <rFont val="宋体-简"/>
        <charset val="1"/>
      </rPr>
      <t>还债</t>
    </r>
  </si>
  <si>
    <t>2011*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</si>
  <si>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</si>
  <si>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</si>
  <si>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</si>
  <si>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</si>
  <si>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</si>
  <si>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</si>
  <si>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</si>
  <si>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</si>
  <si>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</si>
  <si>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</si>
  <si>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</si>
  <si>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</si>
  <si>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2024^</t>
  </si>
  <si>
    <t>2025</t>
  </si>
  <si>
    <r>
      <rPr>
        <i/>
        <sz val="8"/>
        <color rgb="FF666666"/>
        <rFont val="Arial"/>
        <charset val="1"/>
      </rPr>
      <t>* 2011</t>
    </r>
    <r>
      <rPr>
        <i/>
        <sz val="8"/>
        <color rgb="FF666666"/>
        <rFont val="DejaVu Sans"/>
        <charset val="134"/>
      </rPr>
      <t>年为上市后部分年度（</t>
    </r>
    <r>
      <rPr>
        <i/>
        <sz val="8"/>
        <color rgb="FF666666"/>
        <rFont val="Arial"/>
        <charset val="1"/>
      </rPr>
      <t>2011</t>
    </r>
    <r>
      <rPr>
        <i/>
        <sz val="8"/>
        <color rgb="FF666666"/>
        <rFont val="DejaVu Sans"/>
        <charset val="134"/>
      </rPr>
      <t>年</t>
    </r>
    <r>
      <rPr>
        <i/>
        <sz val="8"/>
        <color rgb="FF666666"/>
        <rFont val="Arial"/>
        <charset val="1"/>
      </rPr>
      <t>4</t>
    </r>
    <r>
      <rPr>
        <i/>
        <sz val="8"/>
        <color rgb="FF666666"/>
        <rFont val="DejaVu Sans"/>
        <charset val="134"/>
      </rPr>
      <t>月</t>
    </r>
    <r>
      <rPr>
        <i/>
        <sz val="8"/>
        <color rgb="FF666666"/>
        <rFont val="Arial"/>
        <charset val="1"/>
      </rPr>
      <t>29</t>
    </r>
    <r>
      <rPr>
        <i/>
        <sz val="8"/>
        <color rgb="FF666666"/>
        <rFont val="DejaVu Sans"/>
        <charset val="134"/>
      </rPr>
      <t>日上市，统计期</t>
    </r>
    <r>
      <rPr>
        <i/>
        <sz val="8"/>
        <color rgb="FF666666"/>
        <rFont val="Arial"/>
        <charset val="1"/>
      </rPr>
      <t>4</t>
    </r>
    <r>
      <rPr>
        <i/>
        <sz val="8"/>
        <color rgb="FF666666"/>
        <rFont val="DejaVu Sans"/>
        <charset val="134"/>
      </rPr>
      <t>月</t>
    </r>
    <r>
      <rPr>
        <i/>
        <sz val="8"/>
        <color rgb="FF666666"/>
        <rFont val="Arial"/>
        <charset val="1"/>
      </rPr>
      <t>29</t>
    </r>
    <r>
      <rPr>
        <i/>
        <sz val="8"/>
        <color rgb="FF666666"/>
        <rFont val="DejaVu Sans"/>
        <charset val="134"/>
      </rPr>
      <t>日–</t>
    </r>
    <r>
      <rPr>
        <i/>
        <sz val="8"/>
        <color rgb="FF666666"/>
        <rFont val="Arial"/>
        <charset val="1"/>
      </rPr>
      <t>12</t>
    </r>
    <r>
      <rPr>
        <i/>
        <sz val="8"/>
        <color rgb="FF666666"/>
        <rFont val="DejaVu Sans"/>
        <charset val="134"/>
      </rPr>
      <t>月</t>
    </r>
    <r>
      <rPr>
        <i/>
        <sz val="8"/>
        <color rgb="FF666666"/>
        <rFont val="Arial"/>
        <charset val="1"/>
      </rPr>
      <t>31</t>
    </r>
    <r>
      <rPr>
        <i/>
        <sz val="8"/>
        <color rgb="FF666666"/>
        <rFont val="DejaVu Sans"/>
        <charset val="134"/>
      </rPr>
      <t>日）。</t>
    </r>
  </si>
  <si>
    <r>
      <rPr>
        <i/>
        <sz val="8"/>
        <color rgb="FF666666"/>
        <rFont val="Arial"/>
        <charset val="1"/>
      </rPr>
      <t>^ 2024</t>
    </r>
    <r>
      <rPr>
        <i/>
        <sz val="8"/>
        <color rgb="FF666666"/>
        <rFont val="DejaVu Sans"/>
        <charset val="134"/>
      </rPr>
      <t>年总收益与</t>
    </r>
    <r>
      <rPr>
        <i/>
        <sz val="8"/>
        <color rgb="FF666666"/>
        <rFont val="Arial"/>
        <charset val="1"/>
      </rPr>
      <t>NPI</t>
    </r>
    <r>
      <rPr>
        <i/>
        <sz val="8"/>
        <color rgb="FF666666"/>
        <rFont val="DejaVu Sans"/>
        <charset val="134"/>
      </rPr>
      <t>由</t>
    </r>
    <r>
      <rPr>
        <i/>
        <sz val="8"/>
        <color rgb="FF666666"/>
        <rFont val="Arial"/>
        <charset val="1"/>
      </rPr>
      <t>2025</t>
    </r>
    <r>
      <rPr>
        <i/>
        <sz val="8"/>
        <color rgb="FF666666"/>
        <rFont val="DejaVu Sans"/>
        <charset val="134"/>
      </rPr>
      <t>年年报披露的「同比减少</t>
    </r>
    <r>
      <rPr>
        <i/>
        <sz val="8"/>
        <color rgb="FF666666"/>
        <rFont val="Arial"/>
        <charset val="1"/>
      </rPr>
      <t>1.28</t>
    </r>
    <r>
      <rPr>
        <i/>
        <sz val="8"/>
        <color rgb="FF666666"/>
        <rFont val="DejaVu Sans"/>
        <charset val="134"/>
      </rPr>
      <t>亿</t>
    </r>
    <r>
      <rPr>
        <i/>
        <sz val="8"/>
        <color rgb="FF666666"/>
        <rFont val="Arial"/>
        <charset val="1"/>
      </rPr>
      <t>/1.57</t>
    </r>
    <r>
      <rPr>
        <i/>
        <sz val="8"/>
        <color rgb="FF666666"/>
        <rFont val="DejaVu Sans"/>
        <charset val="134"/>
      </rPr>
      <t>亿」反推。其余为披露原值。</t>
    </r>
  </si>
  <si>
    <r>
      <rPr>
        <i/>
        <sz val="8"/>
        <color rgb="FF666666"/>
        <rFont val="Arial"/>
        <charset val="1"/>
      </rPr>
      <t>NPI</t>
    </r>
    <r>
      <rPr>
        <i/>
        <sz val="8"/>
        <color rgb="FF666666"/>
        <rFont val="DejaVu Sans"/>
        <charset val="134"/>
      </rPr>
      <t>利润率</t>
    </r>
    <r>
      <rPr>
        <i/>
        <sz val="8"/>
        <color rgb="FF666666"/>
        <rFont val="Arial"/>
        <charset val="1"/>
      </rPr>
      <t>=NPI/</t>
    </r>
    <r>
      <rPr>
        <i/>
        <sz val="8"/>
        <color rgb="FF666666"/>
        <rFont val="DejaVu Sans"/>
        <charset val="134"/>
      </rPr>
      <t>总收益；分派比率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实际分派</t>
    </r>
    <r>
      <rPr>
        <i/>
        <sz val="8"/>
        <color rgb="FF666666"/>
        <rFont val="Arial"/>
        <charset val="1"/>
      </rPr>
      <t>/</t>
    </r>
    <r>
      <rPr>
        <i/>
        <sz val="8"/>
        <color rgb="FF666666"/>
        <rFont val="DejaVu Sans"/>
        <charset val="134"/>
      </rPr>
      <t>可供分派（均由公式计算）。</t>
    </r>
  </si>
  <si>
    <r>
      <rPr>
        <b/>
        <sz val="14"/>
        <rFont val="DejaVu Sans"/>
        <charset val="134"/>
      </rPr>
      <t xml:space="preserve">历年资产负债与杠杆 </t>
    </r>
    <r>
      <rPr>
        <b/>
        <sz val="14"/>
        <rFont val="Arial"/>
        <charset val="1"/>
      </rPr>
      <t>(</t>
    </r>
    <r>
      <rPr>
        <b/>
        <sz val="14"/>
        <rFont val="DejaVu Sans"/>
        <charset val="134"/>
      </rPr>
      <t>年末</t>
    </r>
    <r>
      <rPr>
        <b/>
        <sz val="14"/>
        <rFont val="Arial"/>
        <charset val="1"/>
      </rPr>
      <t>)</t>
    </r>
  </si>
  <si>
    <r>
      <rPr>
        <i/>
        <sz val="8"/>
        <color rgb="FF666666"/>
        <rFont val="DejaVu Sans"/>
        <charset val="134"/>
      </rPr>
      <t>单位：人民币百万元；</t>
    </r>
    <r>
      <rPr>
        <i/>
        <sz val="8"/>
        <color rgb="FF666666"/>
        <rFont val="Arial"/>
        <charset val="1"/>
      </rPr>
      <t>NAV/</t>
    </r>
    <r>
      <rPr>
        <i/>
        <sz val="8"/>
        <color rgb="FF666666"/>
        <rFont val="DejaVu Sans"/>
        <charset val="134"/>
      </rPr>
      <t>价格为元。空白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公开渠道未取得（需查对应年报）。</t>
    </r>
  </si>
  <si>
    <t>年末</t>
  </si>
  <si>
    <r>
      <rPr>
        <b/>
        <sz val="10"/>
        <color rgb="FFFFFFFF"/>
        <rFont val="DejaVu Sans"/>
        <charset val="134"/>
      </rPr>
      <t>总资产估值</t>
    </r>
    <r>
      <rPr>
        <b/>
        <sz val="10"/>
        <color rgb="FFFFFFFF"/>
        <rFont val="Arial"/>
        <charset val="1"/>
      </rPr>
      <t>(GAV)</t>
    </r>
  </si>
  <si>
    <r>
      <rPr>
        <b/>
        <sz val="10"/>
        <color rgb="FFFFFFFF"/>
        <rFont val="DejaVu Sans"/>
        <charset val="134"/>
      </rPr>
      <t>基金单位持有人</t>
    </r>
    <r>
      <rPr>
        <b/>
        <sz val="10"/>
        <color rgb="FFFFFFFF"/>
        <rFont val="Arial"/>
        <charset val="1"/>
      </rPr>
      <t>NAV</t>
    </r>
  </si>
  <si>
    <r>
      <rPr>
        <b/>
        <sz val="10"/>
        <color rgb="FFFFFFFF"/>
        <rFont val="DejaVu Sans"/>
        <charset val="134"/>
      </rPr>
      <t>每单位</t>
    </r>
    <r>
      <rPr>
        <b/>
        <sz val="10"/>
        <color rgb="FFFFFFFF"/>
        <rFont val="Arial"/>
        <charset val="1"/>
      </rPr>
      <t>NAV(</t>
    </r>
    <r>
      <rPr>
        <b/>
        <sz val="10"/>
        <color rgb="FFFFFFFF"/>
        <rFont val="DejaVu Sans"/>
        <charset val="134"/>
      </rPr>
      <t>元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</si>
  <si>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DejaVu Sans"/>
        <charset val="134"/>
      </rPr>
      <t>债务</t>
    </r>
    <r>
      <rPr>
        <b/>
        <sz val="10"/>
        <color rgb="FFFFFFFF"/>
        <rFont val="Arial"/>
        <charset val="1"/>
      </rPr>
      <t>/GAV</t>
    </r>
  </si>
  <si>
    <r>
      <rPr>
        <b/>
        <sz val="10"/>
        <color rgb="FFFFFFFF"/>
        <rFont val="DejaVu Sans"/>
        <charset val="134"/>
      </rPr>
      <t>年末收市价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DejaVu Sans"/>
        <charset val="134"/>
      </rPr>
      <t>元</t>
    </r>
    <r>
      <rPr>
        <b/>
        <sz val="10"/>
        <color rgb="FFFFFFFF"/>
        <rFont val="Arial"/>
        <charset val="1"/>
      </rPr>
      <t>)</t>
    </r>
  </si>
  <si>
    <t>利息开支</t>
  </si>
  <si>
    <r>
      <rPr>
        <b/>
        <sz val="10"/>
        <color rgb="FFFFFFFF"/>
        <rFont val="DejaVu Sans"/>
        <charset val="134"/>
      </rPr>
      <t>较</t>
    </r>
    <r>
      <rPr>
        <b/>
        <sz val="10"/>
        <color rgb="FFFFFFFF"/>
        <rFont val="Arial"/>
        <charset val="1"/>
      </rPr>
      <t>NAV</t>
    </r>
    <r>
      <rPr>
        <b/>
        <sz val="10"/>
        <color rgb="FFFFFFFF"/>
        <rFont val="DejaVu Sans"/>
        <charset val="134"/>
      </rPr>
      <t>溢价</t>
    </r>
    <r>
      <rPr>
        <b/>
        <sz val="10"/>
        <color rgb="FFFFFFFF"/>
        <rFont val="Arial"/>
        <charset val="1"/>
      </rPr>
      <t>/(</t>
    </r>
    <r>
      <rPr>
        <b/>
        <sz val="10"/>
        <color rgb="FFFFFFFF"/>
        <rFont val="DejaVu Sans"/>
        <charset val="134"/>
      </rPr>
      <t>折让</t>
    </r>
    <r>
      <rPr>
        <b/>
        <sz val="10"/>
        <color rgb="FFFFFFFF"/>
        <rFont val="Arial"/>
        <charset val="1"/>
      </rPr>
      <t>)</t>
    </r>
  </si>
  <si>
    <t>2011</t>
  </si>
  <si>
    <t>2024</t>
  </si>
  <si>
    <t>3,4</t>
  </si>
  <si>
    <t>2,4</t>
  </si>
  <si>
    <r>
      <rPr>
        <i/>
        <sz val="8"/>
        <color rgb="FF666666"/>
        <rFont val="DejaVu Sans"/>
        <charset val="134"/>
      </rPr>
      <t>每单位</t>
    </r>
    <r>
      <rPr>
        <i/>
        <sz val="8"/>
        <color rgb="FF666666"/>
        <rFont val="Arial"/>
        <charset val="1"/>
      </rPr>
      <t>NAV</t>
    </r>
    <r>
      <rPr>
        <i/>
        <sz val="8"/>
        <color rgb="FF666666"/>
        <rFont val="DejaVu Sans"/>
        <charset val="134"/>
      </rPr>
      <t>由上市初的约</t>
    </r>
    <r>
      <rPr>
        <i/>
        <sz val="8"/>
        <color rgb="FF666666"/>
        <rFont val="Arial"/>
        <charset val="1"/>
      </rPr>
      <t>5.18</t>
    </r>
    <r>
      <rPr>
        <i/>
        <sz val="8"/>
        <color rgb="FF666666"/>
        <rFont val="DejaVu Sans"/>
        <charset val="134"/>
      </rPr>
      <t>元降至</t>
    </r>
    <r>
      <rPr>
        <i/>
        <sz val="8"/>
        <color rgb="FF666666"/>
        <rFont val="Arial"/>
        <charset val="1"/>
      </rPr>
      <t>2025</t>
    </r>
    <r>
      <rPr>
        <i/>
        <sz val="8"/>
        <color rgb="FF666666"/>
        <rFont val="DejaVu Sans"/>
        <charset val="134"/>
      </rPr>
      <t>年的</t>
    </r>
    <r>
      <rPr>
        <i/>
        <sz val="8"/>
        <color rgb="FF666666"/>
        <rFont val="Arial"/>
        <charset val="1"/>
      </rPr>
      <t>3.17</t>
    </r>
    <r>
      <rPr>
        <i/>
        <sz val="8"/>
        <color rgb="FF666666"/>
        <rFont val="DejaVu Sans"/>
        <charset val="134"/>
      </rPr>
      <t>元（资产为有期限地权，北京东方广场使用权</t>
    </r>
    <r>
      <rPr>
        <i/>
        <sz val="8"/>
        <color rgb="FF666666"/>
        <rFont val="Arial"/>
        <charset val="1"/>
      </rPr>
      <t>2049</t>
    </r>
    <r>
      <rPr>
        <i/>
        <sz val="8"/>
        <color rgb="FF666666"/>
        <rFont val="DejaVu Sans"/>
        <charset val="134"/>
      </rPr>
      <t>年到期）。</t>
    </r>
  </si>
  <si>
    <r>
      <rPr>
        <i/>
        <sz val="8"/>
        <color rgb="FF666666"/>
        <rFont val="DejaVu Sans"/>
        <charset val="134"/>
      </rPr>
      <t>总债务从</t>
    </r>
    <r>
      <rPr>
        <i/>
        <sz val="8"/>
        <color rgb="FF666666"/>
        <rFont val="Arial"/>
        <charset val="1"/>
      </rPr>
      <t>2016/2017</t>
    </r>
    <r>
      <rPr>
        <i/>
        <sz val="8"/>
        <color rgb="FF666666"/>
        <rFont val="DejaVu Sans"/>
        <charset val="134"/>
      </rPr>
      <t>年高峰约</t>
    </r>
    <r>
      <rPr>
        <i/>
        <sz val="8"/>
        <color rgb="FF666666"/>
        <rFont val="Arial"/>
        <charset val="1"/>
      </rPr>
      <t>108</t>
    </r>
    <r>
      <rPr>
        <i/>
        <sz val="8"/>
        <color rgb="FF666666"/>
        <rFont val="DejaVu Sans"/>
        <charset val="134"/>
      </rPr>
      <t>亿降至</t>
    </r>
    <r>
      <rPr>
        <i/>
        <sz val="8"/>
        <color rgb="FF666666"/>
        <rFont val="Arial"/>
        <charset val="1"/>
      </rPr>
      <t>2025</t>
    </r>
    <r>
      <rPr>
        <i/>
        <sz val="8"/>
        <color rgb="FF666666"/>
        <rFont val="DejaVu Sans"/>
        <charset val="134"/>
      </rPr>
      <t>年约</t>
    </r>
    <r>
      <rPr>
        <i/>
        <sz val="8"/>
        <color rgb="FF666666"/>
        <rFont val="Arial"/>
        <charset val="1"/>
      </rPr>
      <t>50</t>
    </r>
    <r>
      <rPr>
        <i/>
        <sz val="8"/>
        <color rgb="FF666666"/>
        <rFont val="DejaVu Sans"/>
        <charset val="134"/>
      </rPr>
      <t>亿，杠杆率（债务</t>
    </r>
    <r>
      <rPr>
        <i/>
        <sz val="8"/>
        <color rgb="FF666666"/>
        <rFont val="Arial"/>
        <charset val="1"/>
      </rPr>
      <t>/GAV</t>
    </r>
    <r>
      <rPr>
        <i/>
        <sz val="8"/>
        <color rgb="FF666666"/>
        <rFont val="DejaVu Sans"/>
        <charset val="134"/>
      </rPr>
      <t>）降至</t>
    </r>
    <r>
      <rPr>
        <i/>
        <sz val="8"/>
        <color rgb="FF666666"/>
        <rFont val="Arial"/>
        <charset val="1"/>
      </rPr>
      <t>15.4%</t>
    </r>
    <r>
      <rPr>
        <i/>
        <sz val="8"/>
        <color rgb="FF666666"/>
        <rFont val="DejaVu Sans"/>
        <charset val="134"/>
      </rPr>
      <t>。</t>
    </r>
  </si>
  <si>
    <r>
      <rPr>
        <i/>
        <sz val="8"/>
        <color rgb="FF666666"/>
        <rFont val="DejaVu Sans"/>
        <charset val="134"/>
      </rPr>
      <t>折让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年末收市价</t>
    </r>
    <r>
      <rPr>
        <i/>
        <sz val="8"/>
        <color rgb="FF666666"/>
        <rFont val="Arial"/>
        <charset val="1"/>
      </rPr>
      <t>/</t>
    </r>
    <r>
      <rPr>
        <i/>
        <sz val="8"/>
        <color rgb="FF666666"/>
        <rFont val="DejaVu Sans"/>
        <charset val="134"/>
      </rPr>
      <t>每单位</t>
    </r>
    <r>
      <rPr>
        <i/>
        <sz val="8"/>
        <color rgb="FF666666"/>
        <rFont val="Arial"/>
        <charset val="1"/>
      </rPr>
      <t>NAV − 1</t>
    </r>
    <r>
      <rPr>
        <i/>
        <sz val="8"/>
        <color rgb="FF666666"/>
        <rFont val="DejaVu Sans"/>
        <charset val="134"/>
      </rPr>
      <t>；价格口径为人民币（部分年份港元，仅作量级参考）。</t>
    </r>
  </si>
  <si>
    <r>
      <rPr>
        <i/>
        <sz val="8"/>
        <color rgb="FF666666"/>
        <rFont val="Arial"/>
        <charset val="1"/>
      </rPr>
      <t>2021–2024</t>
    </r>
    <r>
      <rPr>
        <i/>
        <sz val="8"/>
        <color rgb="FF666666"/>
        <rFont val="DejaVu Sans"/>
        <charset val="134"/>
      </rPr>
      <t>年末</t>
    </r>
    <r>
      <rPr>
        <i/>
        <sz val="8"/>
        <color rgb="FF666666"/>
        <rFont val="Arial"/>
        <charset val="1"/>
      </rPr>
      <t>NAV/</t>
    </r>
    <r>
      <rPr>
        <i/>
        <sz val="8"/>
        <color rgb="FF666666"/>
        <rFont val="DejaVu Sans"/>
        <charset val="134"/>
      </rPr>
      <t>债务公开二手渠道未单列，需查对应年度年报。</t>
    </r>
  </si>
  <si>
    <r>
      <rPr>
        <b/>
        <sz val="14"/>
        <rFont val="DejaVu Sans"/>
        <charset val="134"/>
      </rPr>
      <t>物业收入净额</t>
    </r>
    <r>
      <rPr>
        <b/>
        <sz val="14"/>
        <rFont val="Arial"/>
        <charset val="1"/>
      </rPr>
      <t xml:space="preserve">(NPI) </t>
    </r>
    <r>
      <rPr>
        <b/>
        <sz val="14"/>
        <rFont val="DejaVu Sans"/>
        <charset val="134"/>
      </rPr>
      <t>分业态</t>
    </r>
  </si>
  <si>
    <r>
      <rPr>
        <i/>
        <sz val="8"/>
        <color rgb="FF666666"/>
        <rFont val="DejaVu Sans"/>
        <charset val="134"/>
      </rPr>
      <t>单位：人民币百万元。仅列示披露较清晰的年份。</t>
    </r>
    <r>
      <rPr>
        <i/>
        <sz val="8"/>
        <color rgb="FF666666"/>
        <rFont val="Arial"/>
        <charset val="1"/>
      </rPr>
      <t>2020</t>
    </r>
    <r>
      <rPr>
        <i/>
        <sz val="8"/>
        <color rgb="FF666666"/>
        <rFont val="DejaVu Sans"/>
        <charset val="134"/>
      </rPr>
      <t>年酒店受疫情影响录得亏损。</t>
    </r>
  </si>
  <si>
    <t>业态</t>
  </si>
  <si>
    <t>写字楼</t>
  </si>
  <si>
    <t>零售商场</t>
  </si>
  <si>
    <t>酒店</t>
  </si>
  <si>
    <t>n.a.</t>
  </si>
  <si>
    <t>服务式公寓</t>
  </si>
  <si>
    <r>
      <rPr>
        <b/>
        <sz val="10"/>
        <rFont val="DejaVu Sans"/>
        <charset val="134"/>
      </rPr>
      <t>合计</t>
    </r>
    <r>
      <rPr>
        <b/>
        <sz val="10"/>
        <rFont val="Arial"/>
        <charset val="1"/>
      </rPr>
      <t>NPI</t>
    </r>
  </si>
  <si>
    <t>北京东方广场估值历史（核心资产，占组合约七成）</t>
  </si>
  <si>
    <r>
      <rPr>
        <i/>
        <sz val="8"/>
        <color rgb="FF666666"/>
        <rFont val="DejaVu Sans"/>
        <charset val="134"/>
      </rPr>
      <t>单位：人民币百万元。写字楼</t>
    </r>
    <r>
      <rPr>
        <i/>
        <sz val="8"/>
        <color rgb="FF666666"/>
        <rFont val="Arial"/>
        <charset val="1"/>
      </rPr>
      <t>+</t>
    </r>
    <r>
      <rPr>
        <i/>
        <sz val="8"/>
        <color rgb="FF666666"/>
        <rFont val="DejaVu Sans"/>
        <charset val="134"/>
      </rPr>
      <t>商场</t>
    </r>
    <r>
      <rPr>
        <i/>
        <sz val="8"/>
        <color rgb="FF666666"/>
        <rFont val="Arial"/>
        <charset val="1"/>
      </rPr>
      <t>+</t>
    </r>
    <r>
      <rPr>
        <i/>
        <sz val="8"/>
        <color rgb="FF666666"/>
        <rFont val="DejaVu Sans"/>
        <charset val="134"/>
      </rPr>
      <t>车位 与 酒店</t>
    </r>
    <r>
      <rPr>
        <i/>
        <sz val="8"/>
        <color rgb="FF666666"/>
        <rFont val="Arial"/>
        <charset val="1"/>
      </rPr>
      <t>+</t>
    </r>
    <r>
      <rPr>
        <i/>
        <sz val="8"/>
        <color rgb="FF666666"/>
        <rFont val="DejaVu Sans"/>
        <charset val="134"/>
      </rPr>
      <t>公寓 之和为东方广场总估值。</t>
    </r>
  </si>
  <si>
    <r>
      <rPr>
        <b/>
        <sz val="10"/>
        <color rgb="FFFFFFFF"/>
        <rFont val="DejaVu Sans"/>
        <charset val="134"/>
      </rPr>
      <t>写字楼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DejaVu Sans"/>
        <charset val="134"/>
      </rPr>
      <t>商场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DejaVu Sans"/>
        <charset val="134"/>
      </rPr>
      <t>车位</t>
    </r>
  </si>
  <si>
    <r>
      <rPr>
        <b/>
        <sz val="10"/>
        <color rgb="FFFFFFFF"/>
        <rFont val="DejaVu Sans"/>
        <charset val="134"/>
      </rPr>
      <t>酒店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DejaVu Sans"/>
        <charset val="134"/>
      </rPr>
      <t>服务式公寓</t>
    </r>
  </si>
  <si>
    <t>东方广场总估值</t>
  </si>
  <si>
    <r>
      <rPr>
        <i/>
        <sz val="8"/>
        <color rgb="FF666666"/>
        <rFont val="DejaVu Sans"/>
        <charset val="134"/>
      </rPr>
      <t>注：</t>
    </r>
    <r>
      <rPr>
        <i/>
        <sz val="8"/>
        <color rgb="FF666666"/>
        <rFont val="Arial"/>
        <charset val="1"/>
      </rPr>
      <t>2049</t>
    </r>
    <r>
      <rPr>
        <i/>
        <sz val="8"/>
        <color rgb="FF666666"/>
        <rFont val="DejaVu Sans"/>
        <charset val="134"/>
      </rPr>
      <t>年北京东方广场合营</t>
    </r>
    <r>
      <rPr>
        <i/>
        <sz val="8"/>
        <color rgb="FF666666"/>
        <rFont val="Arial"/>
        <charset val="1"/>
      </rPr>
      <t>/</t>
    </r>
    <r>
      <rPr>
        <i/>
        <sz val="8"/>
        <color rgb="FF666666"/>
        <rFont val="DejaVu Sans"/>
        <charset val="134"/>
      </rPr>
      <t>土地使用权到期，资产归还内地合作方。</t>
    </r>
  </si>
  <si>
    <t>上市信息、关键事件与数据来源</t>
  </si>
  <si>
    <t>上市日期</t>
  </si>
  <si>
    <r>
      <rPr>
        <sz val="10"/>
        <color rgb="FF000000"/>
        <rFont val="Arial"/>
        <charset val="1"/>
      </rPr>
      <t>2011</t>
    </r>
    <r>
      <rPr>
        <sz val="10"/>
        <color rgb="FF000000"/>
        <rFont val="DejaVu Sans"/>
        <charset val="134"/>
      </rPr>
      <t>年</t>
    </r>
    <r>
      <rPr>
        <sz val="10"/>
        <color rgb="FF000000"/>
        <rFont val="Arial"/>
        <charset val="1"/>
      </rPr>
      <t>4</t>
    </r>
    <r>
      <rPr>
        <sz val="10"/>
        <color rgb="FF000000"/>
        <rFont val="DejaVu Sans"/>
        <charset val="134"/>
      </rPr>
      <t>月</t>
    </r>
    <r>
      <rPr>
        <sz val="10"/>
        <color rgb="FF000000"/>
        <rFont val="Arial"/>
        <charset val="1"/>
      </rPr>
      <t>29</t>
    </r>
    <r>
      <rPr>
        <sz val="10"/>
        <color rgb="FF000000"/>
        <rFont val="DejaVu Sans"/>
        <charset val="134"/>
      </rPr>
      <t>日，香港联交所，代码</t>
    </r>
    <r>
      <rPr>
        <sz val="10"/>
        <color rgb="FF000000"/>
        <rFont val="Arial"/>
        <charset val="1"/>
      </rPr>
      <t>87001</t>
    </r>
  </si>
  <si>
    <t>性质</t>
  </si>
  <si>
    <r>
      <rPr>
        <sz val="10"/>
        <color rgb="FF000000"/>
        <rFont val="DejaVu Sans"/>
        <charset val="134"/>
      </rPr>
      <t>全球</t>
    </r>
    <r>
      <rPr>
        <sz val="10"/>
        <color rgb="FF000000"/>
        <rFont val="Arial"/>
        <charset val="1"/>
      </rPr>
      <t>/</t>
    </r>
    <r>
      <rPr>
        <sz val="10"/>
        <color rgb="FF000000"/>
        <rFont val="DejaVu Sans"/>
        <charset val="134"/>
      </rPr>
      <t>香港首只人民币计价</t>
    </r>
    <r>
      <rPr>
        <sz val="10"/>
        <color rgb="FF000000"/>
        <rFont val="Arial"/>
        <charset val="1"/>
      </rPr>
      <t>REIT</t>
    </r>
  </si>
  <si>
    <r>
      <rPr>
        <b/>
        <sz val="10"/>
        <rFont val="Arial"/>
        <charset val="1"/>
      </rPr>
      <t>IPO</t>
    </r>
    <r>
      <rPr>
        <b/>
        <sz val="10"/>
        <rFont val="DejaVu Sans"/>
        <charset val="134"/>
      </rPr>
      <t>发售价</t>
    </r>
  </si>
  <si>
    <r>
      <rPr>
        <sz val="10"/>
        <color rgb="FF000000"/>
        <rFont val="DejaVu Sans"/>
        <charset val="134"/>
      </rPr>
      <t>人民币</t>
    </r>
    <r>
      <rPr>
        <sz val="10"/>
        <color rgb="FF000000"/>
        <rFont val="Arial"/>
        <charset val="1"/>
      </rPr>
      <t>5.24</t>
    </r>
    <r>
      <rPr>
        <sz val="10"/>
        <color rgb="FF000000"/>
        <rFont val="DejaVu Sans"/>
        <charset val="134"/>
      </rPr>
      <t>元</t>
    </r>
    <r>
      <rPr>
        <sz val="10"/>
        <color rgb="FF000000"/>
        <rFont val="Arial"/>
        <charset val="1"/>
      </rPr>
      <t>/</t>
    </r>
    <r>
      <rPr>
        <sz val="10"/>
        <color rgb="FF000000"/>
        <rFont val="DejaVu Sans"/>
        <charset val="134"/>
      </rPr>
      <t>基金单位（招股区间</t>
    </r>
    <r>
      <rPr>
        <sz val="10"/>
        <color rgb="FF000000"/>
        <rFont val="Arial"/>
        <charset val="1"/>
      </rPr>
      <t>5.24–5.58</t>
    </r>
    <r>
      <rPr>
        <sz val="10"/>
        <color rgb="FF000000"/>
        <rFont val="DejaVu Sans"/>
        <charset val="134"/>
      </rPr>
      <t>下限定价）</t>
    </r>
  </si>
  <si>
    <r>
      <rPr>
        <b/>
        <sz val="10"/>
        <rFont val="Arial"/>
        <charset val="1"/>
      </rPr>
      <t>IPO</t>
    </r>
    <r>
      <rPr>
        <b/>
        <sz val="10"/>
        <rFont val="DejaVu Sans"/>
        <charset val="134"/>
      </rPr>
      <t>集资</t>
    </r>
  </si>
  <si>
    <r>
      <rPr>
        <sz val="10"/>
        <color rgb="FF000000"/>
        <rFont val="DejaVu Sans"/>
        <charset val="134"/>
      </rPr>
      <t>约人民币</t>
    </r>
    <r>
      <rPr>
        <sz val="10"/>
        <color rgb="FF000000"/>
        <rFont val="Arial"/>
        <charset val="1"/>
      </rPr>
      <t>104.8–111.6</t>
    </r>
    <r>
      <rPr>
        <sz val="10"/>
        <color rgb="FF000000"/>
        <rFont val="DejaVu Sans"/>
        <charset val="134"/>
      </rPr>
      <t>亿元；上市首日「破发」</t>
    </r>
  </si>
  <si>
    <r>
      <rPr>
        <b/>
        <sz val="10"/>
        <rFont val="DejaVu Sans"/>
        <charset val="134"/>
      </rPr>
      <t>发起人</t>
    </r>
    <r>
      <rPr>
        <b/>
        <sz val="10"/>
        <rFont val="Arial"/>
        <charset val="1"/>
      </rPr>
      <t>/</t>
    </r>
    <r>
      <rPr>
        <b/>
        <sz val="10"/>
        <rFont val="DejaVu Sans"/>
        <charset val="134"/>
      </rPr>
      <t>管理人</t>
    </r>
  </si>
  <si>
    <r>
      <rPr>
        <sz val="10"/>
        <color rgb="FF000000"/>
        <rFont val="DejaVu Sans"/>
        <charset val="134"/>
      </rPr>
      <t>长江实业</t>
    </r>
    <r>
      <rPr>
        <sz val="10"/>
        <color rgb="FF000000"/>
        <rFont val="Arial"/>
        <charset val="1"/>
      </rPr>
      <t>(70%)</t>
    </r>
    <r>
      <rPr>
        <sz val="10"/>
        <color rgb="FF000000"/>
        <rFont val="DejaVu Sans"/>
        <charset val="134"/>
      </rPr>
      <t>与</t>
    </r>
    <r>
      <rPr>
        <sz val="10"/>
        <color rgb="FF000000"/>
        <rFont val="Arial"/>
        <charset val="1"/>
      </rPr>
      <t>ARA(30%)</t>
    </r>
    <r>
      <rPr>
        <sz val="10"/>
        <color rgb="FF000000"/>
        <rFont val="DejaVu Sans"/>
        <charset val="134"/>
      </rPr>
      <t>合资控股的汇贤房托管理有限公司</t>
    </r>
  </si>
  <si>
    <t>核心资产</t>
  </si>
  <si>
    <r>
      <rPr>
        <sz val="10"/>
        <color rgb="FF000000"/>
        <rFont val="DejaVu Sans"/>
        <charset val="134"/>
      </rPr>
      <t>北京东方广场（商场</t>
    </r>
    <r>
      <rPr>
        <sz val="10"/>
        <color rgb="FF000000"/>
        <rFont val="Arial"/>
        <charset val="1"/>
      </rPr>
      <t>/</t>
    </r>
    <r>
      <rPr>
        <sz val="10"/>
        <color rgb="FF000000"/>
        <rFont val="DejaVu Sans"/>
        <charset val="134"/>
      </rPr>
      <t>写字楼</t>
    </r>
    <r>
      <rPr>
        <sz val="10"/>
        <color rgb="FF000000"/>
        <rFont val="Arial"/>
        <charset val="1"/>
      </rPr>
      <t>/</t>
    </r>
    <r>
      <rPr>
        <sz val="10"/>
        <color rgb="FF000000"/>
        <rFont val="DejaVu Sans"/>
        <charset val="134"/>
      </rPr>
      <t>服务式公寓</t>
    </r>
    <r>
      <rPr>
        <sz val="10"/>
        <color rgb="FF000000"/>
        <rFont val="Arial"/>
        <charset val="1"/>
      </rPr>
      <t>/</t>
    </r>
    <r>
      <rPr>
        <sz val="10"/>
        <color rgb="FF000000"/>
        <rFont val="DejaVu Sans"/>
        <charset val="134"/>
      </rPr>
      <t>君悦酒店），另有重庆大都会、沈阳索菲特、成都喜来登</t>
    </r>
  </si>
  <si>
    <t>土地年期</t>
  </si>
  <si>
    <r>
      <rPr>
        <sz val="10"/>
        <color rgb="FF000000"/>
        <rFont val="DejaVu Sans"/>
        <charset val="134"/>
      </rPr>
      <t>北京东方广场土地使用权</t>
    </r>
    <r>
      <rPr>
        <sz val="10"/>
        <color rgb="FF000000"/>
        <rFont val="Arial"/>
        <charset val="1"/>
      </rPr>
      <t>/</t>
    </r>
    <r>
      <rPr>
        <sz val="10"/>
        <color rgb="FF000000"/>
        <rFont val="DejaVu Sans"/>
        <charset val="134"/>
      </rPr>
      <t>合营期</t>
    </r>
    <r>
      <rPr>
        <sz val="10"/>
        <color rgb="FF000000"/>
        <rFont val="Arial"/>
        <charset val="1"/>
      </rPr>
      <t>2049</t>
    </r>
    <r>
      <rPr>
        <sz val="10"/>
        <color rgb="FF000000"/>
        <rFont val="DejaVu Sans"/>
        <charset val="134"/>
      </rPr>
      <t>年</t>
    </r>
    <r>
      <rPr>
        <sz val="10"/>
        <color rgb="FF000000"/>
        <rFont val="Arial"/>
        <charset val="1"/>
      </rPr>
      <t>1</t>
    </r>
    <r>
      <rPr>
        <sz val="10"/>
        <color rgb="FF000000"/>
        <rFont val="DejaVu Sans"/>
        <charset val="134"/>
      </rPr>
      <t>月到期</t>
    </r>
  </si>
  <si>
    <t>—— 已实现汇兑亏损（偿还港元贷款）</t>
  </si>
  <si>
    <t>人民币</t>
  </si>
  <si>
    <r>
      <rPr>
        <sz val="10"/>
        <color rgb="FF000000"/>
        <rFont val="Arial"/>
        <charset val="1"/>
      </rPr>
      <t>2024</t>
    </r>
    <r>
      <rPr>
        <sz val="10"/>
        <color rgb="FF000000"/>
        <rFont val="DejaVu Sans"/>
        <charset val="134"/>
      </rPr>
      <t>年</t>
    </r>
    <r>
      <rPr>
        <sz val="10"/>
        <color rgb="FF000000"/>
        <rFont val="Arial"/>
        <charset val="1"/>
      </rPr>
      <t>5</t>
    </r>
    <r>
      <rPr>
        <sz val="10"/>
        <color rgb="FF000000"/>
        <rFont val="DejaVu Sans"/>
        <charset val="134"/>
      </rPr>
      <t>月 还</t>
    </r>
    <r>
      <rPr>
        <sz val="10"/>
        <color rgb="FF000000"/>
        <rFont val="Arial"/>
        <charset val="1"/>
      </rPr>
      <t>14</t>
    </r>
    <r>
      <rPr>
        <sz val="10"/>
        <color rgb="FF000000"/>
        <rFont val="DejaVu Sans"/>
        <charset val="134"/>
      </rPr>
      <t>亿港元</t>
    </r>
  </si>
  <si>
    <r>
      <rPr>
        <sz val="10"/>
        <color rgb="FF000000"/>
        <rFont val="Arial"/>
        <charset val="1"/>
      </rPr>
      <t>-1.59</t>
    </r>
    <r>
      <rPr>
        <sz val="10"/>
        <color rgb="FF000000"/>
        <rFont val="DejaVu Sans"/>
        <charset val="134"/>
      </rPr>
      <t>亿</t>
    </r>
  </si>
  <si>
    <r>
      <rPr>
        <sz val="10"/>
        <color rgb="FF000000"/>
        <rFont val="Arial"/>
        <charset val="1"/>
      </rPr>
      <t>2024</t>
    </r>
    <r>
      <rPr>
        <sz val="10"/>
        <color rgb="FF000000"/>
        <rFont val="DejaVu Sans"/>
        <charset val="134"/>
      </rPr>
      <t>年</t>
    </r>
    <r>
      <rPr>
        <sz val="10"/>
        <color rgb="FF000000"/>
        <rFont val="Arial"/>
        <charset val="1"/>
      </rPr>
      <t>11</t>
    </r>
    <r>
      <rPr>
        <sz val="10"/>
        <color rgb="FF000000"/>
        <rFont val="DejaVu Sans"/>
        <charset val="134"/>
      </rPr>
      <t>月 还</t>
    </r>
    <r>
      <rPr>
        <sz val="10"/>
        <color rgb="FF000000"/>
        <rFont val="Arial"/>
        <charset val="1"/>
      </rPr>
      <t>18</t>
    </r>
    <r>
      <rPr>
        <sz val="10"/>
        <color rgb="FF000000"/>
        <rFont val="DejaVu Sans"/>
        <charset val="134"/>
      </rPr>
      <t>亿港元</t>
    </r>
  </si>
  <si>
    <r>
      <rPr>
        <sz val="10"/>
        <color rgb="FF000000"/>
        <rFont val="Arial"/>
        <charset val="1"/>
      </rPr>
      <t>-2.09</t>
    </r>
    <r>
      <rPr>
        <sz val="10"/>
        <color rgb="FF000000"/>
        <rFont val="DejaVu Sans"/>
        <charset val="134"/>
      </rPr>
      <t>亿</t>
    </r>
  </si>
  <si>
    <r>
      <rPr>
        <sz val="10"/>
        <color rgb="FF000000"/>
        <rFont val="Arial"/>
        <charset val="1"/>
      </rPr>
      <t>2025</t>
    </r>
    <r>
      <rPr>
        <sz val="10"/>
        <color rgb="FF000000"/>
        <rFont val="DejaVu Sans"/>
        <charset val="134"/>
      </rPr>
      <t>年</t>
    </r>
    <r>
      <rPr>
        <sz val="10"/>
        <color rgb="FF000000"/>
        <rFont val="Arial"/>
        <charset val="1"/>
      </rPr>
      <t>1</t>
    </r>
    <r>
      <rPr>
        <sz val="10"/>
        <color rgb="FF000000"/>
        <rFont val="DejaVu Sans"/>
        <charset val="134"/>
      </rPr>
      <t>月 还</t>
    </r>
    <r>
      <rPr>
        <sz val="10"/>
        <color rgb="FF000000"/>
        <rFont val="Arial"/>
        <charset val="1"/>
      </rPr>
      <t>6</t>
    </r>
    <r>
      <rPr>
        <sz val="10"/>
        <color rgb="FF000000"/>
        <rFont val="DejaVu Sans"/>
        <charset val="134"/>
      </rPr>
      <t>亿港元</t>
    </r>
  </si>
  <si>
    <r>
      <rPr>
        <sz val="10"/>
        <color rgb="FF000000"/>
        <rFont val="Arial"/>
        <charset val="1"/>
      </rPr>
      <t>-0.77</t>
    </r>
    <r>
      <rPr>
        <sz val="10"/>
        <color rgb="FF000000"/>
        <rFont val="DejaVu Sans"/>
        <charset val="134"/>
      </rPr>
      <t>亿</t>
    </r>
  </si>
  <si>
    <r>
      <rPr>
        <sz val="10"/>
        <color rgb="FF000000"/>
        <rFont val="Arial"/>
        <charset val="1"/>
      </rPr>
      <t>2025</t>
    </r>
    <r>
      <rPr>
        <sz val="10"/>
        <color rgb="FF000000"/>
        <rFont val="DejaVu Sans"/>
        <charset val="134"/>
      </rPr>
      <t>年</t>
    </r>
    <r>
      <rPr>
        <sz val="10"/>
        <color rgb="FF000000"/>
        <rFont val="Arial"/>
        <charset val="1"/>
      </rPr>
      <t>6</t>
    </r>
    <r>
      <rPr>
        <sz val="10"/>
        <color rgb="FF000000"/>
        <rFont val="DejaVu Sans"/>
        <charset val="134"/>
      </rPr>
      <t>月 还</t>
    </r>
    <r>
      <rPr>
        <sz val="10"/>
        <color rgb="FF000000"/>
        <rFont val="Arial"/>
        <charset val="1"/>
      </rPr>
      <t>8</t>
    </r>
    <r>
      <rPr>
        <sz val="10"/>
        <color rgb="FF000000"/>
        <rFont val="DejaVu Sans"/>
        <charset val="134"/>
      </rPr>
      <t>亿港元</t>
    </r>
  </si>
  <si>
    <r>
      <rPr>
        <sz val="10"/>
        <color rgb="FF000000"/>
        <rFont val="Arial"/>
        <charset val="1"/>
      </rPr>
      <t>-0.79</t>
    </r>
    <r>
      <rPr>
        <sz val="10"/>
        <color rgb="FF000000"/>
        <rFont val="DejaVu Sans"/>
        <charset val="134"/>
      </rPr>
      <t>亿</t>
    </r>
  </si>
  <si>
    <r>
      <rPr>
        <sz val="10"/>
        <color rgb="FF000000"/>
        <rFont val="Arial"/>
        <charset val="1"/>
      </rPr>
      <t>2026</t>
    </r>
    <r>
      <rPr>
        <sz val="10"/>
        <color rgb="FF000000"/>
        <rFont val="DejaVu Sans"/>
        <charset val="134"/>
      </rPr>
      <t>年</t>
    </r>
    <r>
      <rPr>
        <sz val="10"/>
        <color rgb="FF000000"/>
        <rFont val="Arial"/>
        <charset val="1"/>
      </rPr>
      <t>4</t>
    </r>
    <r>
      <rPr>
        <sz val="10"/>
        <color rgb="FF000000"/>
        <rFont val="DejaVu Sans"/>
        <charset val="134"/>
      </rPr>
      <t>月 还</t>
    </r>
    <r>
      <rPr>
        <sz val="10"/>
        <color rgb="FF000000"/>
        <rFont val="Arial"/>
        <charset val="1"/>
      </rPr>
      <t>8</t>
    </r>
    <r>
      <rPr>
        <sz val="10"/>
        <color rgb="FF000000"/>
        <rFont val="DejaVu Sans"/>
        <charset val="134"/>
      </rPr>
      <t>亿港元</t>
    </r>
  </si>
  <si>
    <r>
      <rPr>
        <sz val="10"/>
        <color rgb="FF000000"/>
        <rFont val="Arial"/>
        <charset val="1"/>
      </rPr>
      <t>-0.44</t>
    </r>
    <r>
      <rPr>
        <sz val="10"/>
        <color rgb="FF000000"/>
        <rFont val="DejaVu Sans"/>
        <charset val="134"/>
      </rPr>
      <t>亿</t>
    </r>
  </si>
  <si>
    <t>数据来源</t>
  </si>
  <si>
    <r>
      <rPr>
        <sz val="10"/>
        <color rgb="FF000000"/>
        <rFont val="DejaVu Sans"/>
        <charset val="134"/>
      </rPr>
      <t>汇贤产业信托</t>
    </r>
    <r>
      <rPr>
        <sz val="10"/>
        <color rgb="FF000000"/>
        <rFont val="Arial"/>
        <charset val="1"/>
      </rPr>
      <t>2011–2025</t>
    </r>
    <r>
      <rPr>
        <sz val="10"/>
        <color rgb="FF000000"/>
        <rFont val="DejaVu Sans"/>
        <charset val="134"/>
      </rPr>
      <t>年历年年报</t>
    </r>
    <r>
      <rPr>
        <sz val="10"/>
        <color rgb="FF000000"/>
        <rFont val="Arial"/>
        <charset val="1"/>
      </rPr>
      <t>/</t>
    </r>
    <r>
      <rPr>
        <sz val="10"/>
        <color rgb="FF000000"/>
        <rFont val="DejaVu Sans"/>
        <charset val="134"/>
      </rPr>
      <t>年度业绩公告（港交所、公司投资者网站）；派息历史</t>
    </r>
    <r>
      <rPr>
        <sz val="10"/>
        <color rgb="FF000000"/>
        <rFont val="Arial"/>
        <charset val="1"/>
      </rPr>
      <t>(Investing.com)</t>
    </r>
    <r>
      <rPr>
        <sz val="10"/>
        <color rgb="FF000000"/>
        <rFont val="DejaVu Sans"/>
        <charset val="134"/>
      </rPr>
      <t>；公开财经报道</t>
    </r>
  </si>
  <si>
    <t>免责</t>
  </si>
  <si>
    <t>本表为基于公开信息整理，不构成投资建议</t>
  </si>
  <si>
    <r>
      <rPr>
        <b/>
        <sz val="14"/>
        <rFont val="DejaVu Sans"/>
        <charset val="134"/>
      </rPr>
      <t>物业收入净额</t>
    </r>
    <r>
      <rPr>
        <b/>
        <sz val="14"/>
        <rFont val="Arial"/>
        <charset val="1"/>
      </rPr>
      <t xml:space="preserve">(NPI) → </t>
    </r>
    <r>
      <rPr>
        <b/>
        <sz val="14"/>
        <rFont val="DejaVu Sans"/>
        <charset val="134"/>
      </rPr>
      <t>可供分派额  逐年桥接</t>
    </r>
  </si>
  <si>
    <r>
      <rPr>
        <i/>
        <sz val="8"/>
        <color rgb="FF666666"/>
        <rFont val="DejaVu Sans"/>
        <charset val="134"/>
      </rPr>
      <t>单位：人民币百万元。汇兑为正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收益</t>
    </r>
    <r>
      <rPr>
        <i/>
        <sz val="8"/>
        <color rgb="FF666666"/>
        <rFont val="Arial"/>
        <charset val="1"/>
      </rPr>
      <t>/</t>
    </r>
    <r>
      <rPr>
        <i/>
        <sz val="8"/>
        <color rgb="FF666666"/>
        <rFont val="DejaVu Sans"/>
        <charset val="134"/>
      </rPr>
      <t>负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亏损。「其他净额」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可分派−</t>
    </r>
    <r>
      <rPr>
        <i/>
        <sz val="8"/>
        <color rgb="FF666666"/>
        <rFont val="Arial"/>
        <charset val="1"/>
      </rPr>
      <t>NPI+</t>
    </r>
    <r>
      <rPr>
        <i/>
        <sz val="8"/>
        <color rgb="FF666666"/>
        <rFont val="DejaVu Sans"/>
        <charset val="134"/>
      </rPr>
      <t>利息−汇兑（含管理费、税、折旧及资本性质分派调整；负数为净流出）。空白</t>
    </r>
    <r>
      <rPr>
        <i/>
        <sz val="8"/>
        <color rgb="FF666666"/>
        <rFont val="Arial"/>
        <charset val="1"/>
      </rPr>
      <t>=</t>
    </r>
    <r>
      <rPr>
        <i/>
        <sz val="8"/>
        <color rgb="FF666666"/>
        <rFont val="DejaVu Sans"/>
        <charset val="134"/>
      </rPr>
      <t>该项金额未单独披露。</t>
    </r>
  </si>
  <si>
    <t>减：利息支出</t>
  </si>
  <si>
    <r>
      <rPr>
        <b/>
        <sz val="10"/>
        <color rgb="FFFFFFFF"/>
        <rFont val="DejaVu Sans"/>
        <charset val="134"/>
      </rPr>
      <t>加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DejaVu Sans"/>
        <charset val="134"/>
      </rPr>
      <t>减：已实现汇兑损益</t>
    </r>
  </si>
  <si>
    <r>
      <rPr>
        <b/>
        <sz val="10"/>
        <color rgb="FFFFFFFF"/>
        <rFont val="DejaVu Sans"/>
        <charset val="134"/>
      </rPr>
      <t>加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DejaVu Sans"/>
        <charset val="134"/>
      </rPr>
      <t>减：其他净额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DejaVu Sans"/>
        <charset val="134"/>
      </rPr>
      <t>费用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DejaVu Sans"/>
        <charset val="134"/>
      </rPr>
      <t>税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DejaVu Sans"/>
        <charset val="134"/>
      </rPr>
      <t>折旧等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</si>
  <si>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DejaVu Sans"/>
        <charset val="134"/>
      </rPr>
      <t>差额</t>
    </r>
    <r>
      <rPr>
        <b/>
        <sz val="10"/>
        <color rgb="FFFFFFFF"/>
        <rFont val="Arial"/>
        <charset val="1"/>
      </rPr>
      <t>(NPI−</t>
    </r>
    <r>
      <rPr>
        <b/>
        <sz val="10"/>
        <color rgb="FFFFFFFF"/>
        <rFont val="DejaVu Sans"/>
        <charset val="134"/>
      </rPr>
      <t>可分派</t>
    </r>
    <r>
      <rPr>
        <b/>
        <sz val="10"/>
        <color rgb="FFFFFFFF"/>
        <rFont val="Arial"/>
        <charset val="1"/>
      </rPr>
      <t>)</t>
    </r>
  </si>
  <si>
    <t>可派/NPI</t>
  </si>
  <si>
    <r>
      <rPr>
        <i/>
        <sz val="8"/>
        <color rgb="FF666666"/>
        <rFont val="DejaVu Sans"/>
        <charset val="134"/>
      </rPr>
      <t>利息支出仅</t>
    </r>
    <r>
      <rPr>
        <i/>
        <sz val="8"/>
        <color rgb="FF666666"/>
        <rFont val="Arial"/>
        <charset val="1"/>
      </rPr>
      <t>2022–2025</t>
    </r>
    <r>
      <rPr>
        <i/>
        <sz val="8"/>
        <color rgb="FF666666"/>
        <rFont val="DejaVu Sans"/>
        <charset val="134"/>
      </rPr>
      <t>年有公开单列值；已实现汇兑损益仅披露年份填列（</t>
    </r>
    <r>
      <rPr>
        <i/>
        <sz val="8"/>
        <color rgb="FF666666"/>
        <rFont val="Arial"/>
        <charset val="1"/>
      </rPr>
      <t>2018</t>
    </r>
    <r>
      <rPr>
        <i/>
        <sz val="8"/>
        <color rgb="FF666666"/>
        <rFont val="DejaVu Sans"/>
        <charset val="134"/>
      </rPr>
      <t>年为净收益，</t>
    </r>
    <r>
      <rPr>
        <i/>
        <sz val="8"/>
        <color rgb="FF666666"/>
        <rFont val="Arial"/>
        <charset val="1"/>
      </rPr>
      <t>2020/2023–2025</t>
    </r>
    <r>
      <rPr>
        <i/>
        <sz val="8"/>
        <color rgb="FF666666"/>
        <rFont val="DejaVu Sans"/>
        <charset val="134"/>
      </rPr>
      <t>年为亏损）。</t>
    </r>
  </si>
  <si>
    <r>
      <rPr>
        <i/>
        <sz val="8"/>
        <color rgb="FF666666"/>
        <rFont val="DejaVu Sans"/>
        <charset val="134"/>
      </rPr>
      <t>「其他净额」仅在利息与汇兑均有数据的年份</t>
    </r>
    <r>
      <rPr>
        <i/>
        <sz val="8"/>
        <color rgb="FF666666"/>
        <rFont val="Arial"/>
        <charset val="1"/>
      </rPr>
      <t>(2023–2025)</t>
    </r>
    <r>
      <rPr>
        <i/>
        <sz val="8"/>
        <color rgb="FF666666"/>
        <rFont val="DejaVu Sans"/>
        <charset val="134"/>
      </rPr>
      <t>用公式还原，主要为管理人费用、各项税费，以及</t>
    </r>
    <r>
      <rPr>
        <i/>
        <sz val="8"/>
        <color rgb="FF666666"/>
        <rFont val="Arial"/>
        <charset val="1"/>
      </rPr>
      <t>2020</t>
    </r>
    <r>
      <rPr>
        <i/>
        <sz val="8"/>
        <color rgb="FF666666"/>
        <rFont val="DejaVu Sans"/>
        <charset val="134"/>
      </rPr>
      <t>年前的「可供分派之折旧」回补。</t>
    </r>
  </si>
  <si>
    <r>
      <rPr>
        <i/>
        <sz val="8"/>
        <color rgb="FF666666"/>
        <rFont val="DejaVu Sans"/>
        <charset val="134"/>
      </rPr>
      <t>看点：差额</t>
    </r>
    <r>
      <rPr>
        <i/>
        <sz val="8"/>
        <color rgb="FF666666"/>
        <rFont val="Arial"/>
        <charset val="1"/>
      </rPr>
      <t>(NPI−</t>
    </r>
    <r>
      <rPr>
        <i/>
        <sz val="8"/>
        <color rgb="FF666666"/>
        <rFont val="DejaVu Sans"/>
        <charset val="134"/>
      </rPr>
      <t>可分派</t>
    </r>
    <r>
      <rPr>
        <i/>
        <sz val="8"/>
        <color rgb="FF666666"/>
        <rFont val="Arial"/>
        <charset val="1"/>
      </rPr>
      <t>)</t>
    </r>
    <r>
      <rPr>
        <i/>
        <sz val="8"/>
        <color rgb="FF666666"/>
        <rFont val="DejaVu Sans"/>
        <charset val="134"/>
      </rPr>
      <t>从</t>
    </r>
    <r>
      <rPr>
        <i/>
        <sz val="8"/>
        <color rgb="FF666666"/>
        <rFont val="Arial"/>
        <charset val="1"/>
      </rPr>
      <t>2012</t>
    </r>
    <r>
      <rPr>
        <i/>
        <sz val="8"/>
        <color rgb="FF666666"/>
        <rFont val="DejaVu Sans"/>
        <charset val="134"/>
      </rPr>
      <t>年约</t>
    </r>
    <r>
      <rPr>
        <i/>
        <sz val="8"/>
        <color rgb="FF666666"/>
        <rFont val="Arial"/>
        <charset val="1"/>
      </rPr>
      <t>0.46</t>
    </r>
    <r>
      <rPr>
        <i/>
        <sz val="8"/>
        <color rgb="FF666666"/>
        <rFont val="DejaVu Sans"/>
        <charset val="134"/>
      </rPr>
      <t>亿扩大到</t>
    </r>
    <r>
      <rPr>
        <i/>
        <sz val="8"/>
        <color rgb="FF666666"/>
        <rFont val="Arial"/>
        <charset val="1"/>
      </rPr>
      <t>2024–25</t>
    </r>
    <r>
      <rPr>
        <i/>
        <sz val="8"/>
        <color rgb="FF666666"/>
        <rFont val="DejaVu Sans"/>
        <charset val="134"/>
      </rPr>
      <t>年约</t>
    </r>
    <r>
      <rPr>
        <i/>
        <sz val="8"/>
        <color rgb="FF666666"/>
        <rFont val="Arial"/>
        <charset val="1"/>
      </rPr>
      <t>11–13</t>
    </r>
    <r>
      <rPr>
        <i/>
        <sz val="8"/>
        <color rgb="FF666666"/>
        <rFont val="DejaVu Sans"/>
        <charset val="134"/>
      </rPr>
      <t>亿；</t>
    </r>
    <r>
      <rPr>
        <i/>
        <sz val="8"/>
        <color rgb="FF666666"/>
        <rFont val="Arial"/>
        <charset val="1"/>
      </rPr>
      <t>2020</t>
    </r>
    <r>
      <rPr>
        <i/>
        <sz val="8"/>
        <color rgb="FF666666"/>
        <rFont val="DejaVu Sans"/>
        <charset val="134"/>
      </rPr>
      <t>年《外商投资法》取消折旧汇出分派，叠加利息高企与汇兑亏损，是差额骤增主因。</t>
    </r>
  </si>
  <si>
    <t>(i) 北京東方君悅大酒店</t>
  </si>
  <si>
    <t>根據北京市文化和旅遊局的資料，2025年北京接待入境遊客人次達550萬，按年增長39%。由於國內及國際旅遊市場</t>
  </si>
  <si>
    <t>回暖，北京酒店客房之需求持續攀升。</t>
  </si>
  <si>
    <t>北京東方君悅大酒店的平均入住率增至74.3% （2024年：66.7%），平均每晚房價穩定維持在人民幣1,496元（2024年：</t>
  </si>
  <si>
    <t>人民幣1,496元）。</t>
  </si>
  <si>
    <t>(ii) 瀋陽威斯汀酒店（70% 權益）</t>
  </si>
  <si>
    <t>冬季旅遊及運動在中國日趨盛行，瀋陽為中國東北地區最受歡迎的冰雪旅遊城市之一。於2025年，瀋陽威斯汀酒店平</t>
  </si>
  <si>
    <t>均入住率增至56.4% （2024年：53.6%），平均每晚房價為人民幣541元（2024年：人民幣553元）。</t>
  </si>
  <si>
    <t>(iii) 成都天府麗都喜來登飯店（69% 權益）</t>
  </si>
  <si>
    <t>成都為國內熱門旅遊城市，其酒店市場一向競爭激烈，房價亦因激烈競爭而承受下調壓力。成都天府麗都喜來登飯店</t>
  </si>
  <si>
    <t>的平均入住率為76.0% （2024年：77.9%），平均每晚房價為人民幣577元（2024年：人民幣613元）。</t>
  </si>
  <si>
    <t>(iv) 重慶大都會凱悅酒店</t>
  </si>
  <si>
    <t>重慶繼續是2025年的國內旅遊熱點。重慶大都會凱悅酒店的平均入住率為75.4% （2024年：75.7%），平均每晚房價為</t>
  </si>
  <si>
    <t>人民幣623元（2024年：人民幣641元）。</t>
  </si>
  <si>
    <t>(1) 汇贤产业信托于Hui Xian (B.V.I.) Limited的投资，而Hui Xian (B.V.I.) Limited则持有汇贤投资有限公司（「汇贤投资」）。汇贤投资为北京东方广场有限公司（「北京东方广场公司」）的境外股东。汇贤投资持有北京东方广场公司约99.99999983%之股权及享有其100%之分派权益。北京东方广场公司为于中华人民共和国（「中国」）成立的有限责任公司，持有北京东方广场的土地使用权及房屋拥有权；</t>
  </si>
  <si>
    <t>(2) 汇贤产业信托于Chongqing Overseas Investment Limited的投资，而Chongqing Overseas Investment Limited则持有重庆投资有限公司。重庆投资有限公司持有重庆大都会东方广场有限公司的全部股权。重庆大都会东方广场有限公司为于中国成立的有限责任公司，持有重庆大都会东方广场的土地使用权及房屋拥有权；</t>
  </si>
  <si>
    <t>(3) 汇贤产业信托于Shenyang Investment (BVI) Limited的投资，而Shenyang Investment (BVI) Limited则持有沈阳投资（香港）有限公司（「沈阳投资香港」）。沈阳投资香港为沈阳丽都商务有限公司（「沈阳丽都」）的境外股东。沈阳投资香港持有沈阳丽都的70%之股权及享有其70%之分派权益。沈阳丽都为于中国成立的有限责任公司，持有沈阳威斯汀酒店的土地使用权及房屋拥有权；</t>
  </si>
  <si>
    <t>(4) 汇贤产业信托于重庆酒店投资有限公司的投资，而重庆酒店投资有限公司则持有亨事达（香港）有限公司。亨事达（香港）有限公司持有重庆东广大都会酒店有限公司的全部权益。重庆东广大都会酒店有限公司为于中国成立的有限责任公司，持有重庆大都会凯悦酒店的土地使用权及房屋拥有权；以及</t>
  </si>
  <si>
    <t>(5) 汇贤产业信托于新盛资源有限公司的投资，而新盛资源有限公司持有Chengdu Investment Limited。Chengdu Investment Limited为成都长天有限公司（「成都长天」）的境外股东。Chengdu Investment Limited持有成都长天的69%之股权及享有其69%之分派权益。成都长天为于中国成立的有限责任公司，持有成都天府丽都喜来登饭店的土地使用权及房屋拥有权。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</si>
</sst>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\(#,##0\)"/>
    <numFmt numFmtId="177" formatCode="0.0000"/>
    <numFmt numFmtId="178" formatCode="0.0%"/>
    <numFmt numFmtId="179" formatCode="0_ "/>
  </numFmts>
  <fonts count="39">
    <font>
      <sz val="11"/>
      <color theme="1"/>
      <name val="Calibri"/>
      <charset val="1"/>
    </font>
    <font>
      <sz val="7.5"/>
      <color rgb="FF48301B"/>
      <name val="Helvetica"/>
      <charset val="1"/>
    </font>
    <font>
      <sz val="6.75"/>
      <color rgb="FF141413"/>
      <name val="Helvetica"/>
      <charset val="1"/>
    </font>
    <font>
      <b/>
      <sz val="14"/>
      <name val="DejaVu Sans"/>
      <charset val="134"/>
    </font>
    <font>
      <i/>
      <sz val="8"/>
      <color rgb="FF666666"/>
      <name val="DejaVu Sans"/>
      <charset val="134"/>
    </font>
    <font>
      <b/>
      <sz val="10"/>
      <color rgb="FFFFFFFF"/>
      <name val="DejaVu Sans"/>
      <charset val="134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name val="DejaVu Sans"/>
      <charset val="134"/>
    </font>
    <font>
      <i/>
      <sz val="8"/>
      <color rgb="FF666666"/>
      <name val="Arial"/>
      <charset val="1"/>
    </font>
    <font>
      <sz val="10"/>
      <color rgb="FF000000"/>
      <name val="DejaVu Sans"/>
      <charset val="134"/>
    </font>
    <font>
      <sz val="10"/>
      <color rgb="FFFF0000"/>
      <name val="Arial"/>
      <charset val="1"/>
    </font>
    <font>
      <sz val="11"/>
      <color theme="1"/>
      <name val="宋体-简"/>
      <charset val="1"/>
    </font>
    <font>
      <sz val="10"/>
      <name val="Arial"/>
      <charset val="1"/>
    </font>
    <font>
      <sz val="10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Arial"/>
      <charset val="1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FEFEF"/>
        <bgColor rgb="FFFFFFFF"/>
      </patternFill>
    </fill>
    <fill>
      <patternFill patternType="solid">
        <fgColor theme="0" tint="-0.15"/>
        <bgColor indexed="64"/>
      </patternFill>
    </fill>
    <fill>
      <patternFill patternType="solid">
        <fgColor rgb="FFD6E4F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 tint="-0.35"/>
        <bgColor rgb="FFFFFFFF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Border="0" applyAlignment="0" applyProtection="0"/>
    <xf numFmtId="44" fontId="17" fillId="0" borderId="0" applyBorder="0" applyAlignment="0" applyProtection="0"/>
    <xf numFmtId="9" fontId="17" fillId="0" borderId="0" applyBorder="0" applyAlignment="0" applyProtection="0"/>
    <xf numFmtId="41" fontId="17" fillId="0" borderId="0" applyBorder="0" applyAlignment="0" applyProtection="0"/>
    <xf numFmtId="42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5" applyNumberFormat="0" applyAlignment="0" applyProtection="0">
      <alignment vertical="center"/>
    </xf>
    <xf numFmtId="0" fontId="28" fillId="11" borderId="6" applyNumberFormat="0" applyAlignment="0" applyProtection="0">
      <alignment vertical="center"/>
    </xf>
    <xf numFmtId="0" fontId="29" fillId="11" borderId="5" applyNumberFormat="0" applyAlignment="0" applyProtection="0">
      <alignment vertical="center"/>
    </xf>
    <xf numFmtId="0" fontId="30" fillId="12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7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9" fontId="0" fillId="0" borderId="0" xfId="0" applyNumberFormat="1"/>
    <xf numFmtId="0" fontId="6" fillId="3" borderId="1" xfId="0" applyFont="1" applyFill="1" applyBorder="1"/>
    <xf numFmtId="3" fontId="7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3" fontId="8" fillId="3" borderId="1" xfId="0" applyNumberFormat="1" applyFont="1" applyFill="1" applyBorder="1" applyAlignment="1">
      <alignment horizontal="right"/>
    </xf>
    <xf numFmtId="176" fontId="7" fillId="3" borderId="1" xfId="0" applyNumberFormat="1" applyFont="1" applyFill="1" applyBorder="1" applyAlignment="1">
      <alignment horizontal="right"/>
    </xf>
    <xf numFmtId="9" fontId="0" fillId="4" borderId="0" xfId="0" applyNumberFormat="1" applyFill="1"/>
    <xf numFmtId="176" fontId="7" fillId="0" borderId="1" xfId="0" applyNumberFormat="1" applyFont="1" applyBorder="1" applyAlignment="1">
      <alignment horizontal="right"/>
    </xf>
    <xf numFmtId="176" fontId="8" fillId="0" borderId="1" xfId="0" applyNumberFormat="1" applyFont="1" applyBorder="1" applyAlignment="1">
      <alignment horizontal="right"/>
    </xf>
    <xf numFmtId="176" fontId="8" fillId="3" borderId="1" xfId="0" applyNumberFormat="1" applyFont="1" applyFill="1" applyBorder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1" fillId="0" borderId="1" xfId="0" applyFont="1" applyBorder="1"/>
    <xf numFmtId="0" fontId="10" fillId="5" borderId="1" xfId="0" applyFont="1" applyFill="1" applyBorder="1"/>
    <xf numFmtId="3" fontId="8" fillId="5" borderId="1" xfId="0" applyNumberFormat="1" applyFont="1" applyFill="1" applyBorder="1"/>
    <xf numFmtId="0" fontId="0" fillId="5" borderId="1" xfId="0" applyFill="1" applyBorder="1"/>
    <xf numFmtId="0" fontId="10" fillId="0" borderId="0" xfId="0" applyFont="1"/>
    <xf numFmtId="0" fontId="8" fillId="0" borderId="0" xfId="0" applyFont="1"/>
    <xf numFmtId="0" fontId="12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177" fontId="7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178" fontId="7" fillId="0" borderId="1" xfId="0" applyNumberFormat="1" applyFont="1" applyBorder="1" applyAlignment="1">
      <alignment horizontal="right" vertical="center"/>
    </xf>
    <xf numFmtId="178" fontId="7" fillId="3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2" fontId="7" fillId="0" borderId="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right" vertical="center"/>
    </xf>
    <xf numFmtId="3" fontId="13" fillId="6" borderId="1" xfId="0" applyNumberFormat="1" applyFont="1" applyFill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9" fontId="15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3" fontId="7" fillId="7" borderId="1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177" fontId="7" fillId="7" borderId="1" xfId="0" applyNumberFormat="1" applyFont="1" applyFill="1" applyBorder="1" applyAlignment="1">
      <alignment horizontal="center" vertical="center"/>
    </xf>
    <xf numFmtId="178" fontId="8" fillId="7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08080"/>
      <rgbColor rgb="009999FF"/>
      <rgbColor rgb="00993366"/>
      <rgbColor rgb="00EFEFEF"/>
      <rgbColor rgb="00CCFFFF"/>
      <rgbColor rgb="00660066"/>
      <rgbColor rgb="00FF8080"/>
      <rgbColor rgb="000066CC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zoomScale="111" zoomScaleNormal="111" topLeftCell="B1" workbookViewId="0">
      <selection activeCell="L10" sqref="L10"/>
    </sheetView>
  </sheetViews>
  <sheetFormatPr defaultColWidth="8.6796875" defaultRowHeight="16.8"/>
  <cols>
    <col min="1" max="1" width="10" style="53" customWidth="1"/>
    <col min="2" max="2" width="10" style="30" customWidth="1"/>
    <col min="3" max="3" width="14" style="30" customWidth="1"/>
    <col min="4" max="4" width="10" style="30" customWidth="1"/>
    <col min="5" max="6" width="12" style="30" customWidth="1"/>
    <col min="7" max="7" width="10" style="30" customWidth="1"/>
    <col min="8" max="8" width="13" style="30" customWidth="1"/>
    <col min="9" max="9" width="10" style="30" customWidth="1"/>
    <col min="10" max="15" width="8.6796875" style="31"/>
  </cols>
  <sheetData>
    <row r="1" ht="21" spans="1:15">
      <c r="A1" s="54" t="s">
        <v>0</v>
      </c>
    </row>
    <row r="2" spans="1:15">
      <c r="A2" s="55" t="s">
        <v>1</v>
      </c>
    </row>
    <row r="3" spans="1:15">
      <c r="K3" s="56" t="s">
        <v>2</v>
      </c>
      <c r="M3" s="56" t="s">
        <v>3</v>
      </c>
    </row>
    <row r="4" ht="17" spans="1:15">
      <c r="A4" s="57" t="s">
        <v>4</v>
      </c>
      <c r="B4" s="5" t="s">
        <v>5</v>
      </c>
      <c r="C4" s="5" t="s">
        <v>6</v>
      </c>
      <c r="D4" s="20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20" t="s">
        <v>12</v>
      </c>
      <c r="J4" s="58" t="s">
        <v>13</v>
      </c>
      <c r="K4" s="56" t="s">
        <v>14</v>
      </c>
      <c r="L4" s="56" t="s">
        <v>15</v>
      </c>
      <c r="M4" s="56" t="s">
        <v>16</v>
      </c>
      <c r="N4" s="56" t="s">
        <v>17</v>
      </c>
      <c r="O4" s="56" t="s">
        <v>18</v>
      </c>
    </row>
    <row r="5" spans="1:15">
      <c r="A5" s="59" t="s">
        <v>19</v>
      </c>
      <c r="B5" s="35">
        <v>1588</v>
      </c>
      <c r="C5" s="35">
        <v>1041</v>
      </c>
      <c r="D5" s="60">
        <f t="shared" ref="D5:D19" si="0">C5/B5</f>
        <v>0.655541561712846</v>
      </c>
      <c r="E5" s="35">
        <v>735</v>
      </c>
      <c r="F5" s="35">
        <v>735</v>
      </c>
      <c r="G5" s="60">
        <f t="shared" ref="G5:G19" si="1">F5/E5</f>
        <v>1</v>
      </c>
      <c r="H5" s="61">
        <v>0.1467</v>
      </c>
      <c r="I5" s="46"/>
      <c r="J5" s="31">
        <f>C5-E5</f>
        <v>306</v>
      </c>
    </row>
    <row r="6" spans="1:15">
      <c r="A6" s="62" t="s">
        <v>20</v>
      </c>
      <c r="B6" s="40">
        <v>2648</v>
      </c>
      <c r="C6" s="40">
        <v>1671</v>
      </c>
      <c r="D6" s="63">
        <f t="shared" si="0"/>
        <v>0.631042296072508</v>
      </c>
      <c r="E6" s="40">
        <v>1208</v>
      </c>
      <c r="F6" s="40">
        <v>1208</v>
      </c>
      <c r="G6" s="63">
        <f t="shared" si="1"/>
        <v>1</v>
      </c>
      <c r="H6" s="64">
        <v>0.2392</v>
      </c>
      <c r="I6" s="65">
        <f t="shared" ref="I6:I19" si="2">H6/H5-1</f>
        <v>0.630538513974097</v>
      </c>
      <c r="J6" s="31">
        <f t="shared" ref="J6:J19" si="3">C6-E6</f>
        <v>463</v>
      </c>
    </row>
    <row r="7" spans="1:15">
      <c r="A7" s="59" t="s">
        <v>21</v>
      </c>
      <c r="B7" s="35">
        <v>2710</v>
      </c>
      <c r="C7" s="35">
        <v>1764</v>
      </c>
      <c r="D7" s="60">
        <f t="shared" si="0"/>
        <v>0.650922509225092</v>
      </c>
      <c r="E7" s="35">
        <v>1262</v>
      </c>
      <c r="F7" s="35">
        <v>1262</v>
      </c>
      <c r="G7" s="60">
        <f t="shared" si="1"/>
        <v>1</v>
      </c>
      <c r="H7" s="61">
        <v>0.2455</v>
      </c>
      <c r="I7" s="66">
        <f t="shared" si="2"/>
        <v>0.0263377926421404</v>
      </c>
      <c r="J7" s="31">
        <f t="shared" si="3"/>
        <v>502</v>
      </c>
    </row>
    <row r="8" spans="1:15">
      <c r="A8" s="62" t="s">
        <v>22</v>
      </c>
      <c r="B8" s="40">
        <v>2795</v>
      </c>
      <c r="C8" s="40">
        <v>1852</v>
      </c>
      <c r="D8" s="63">
        <f t="shared" si="0"/>
        <v>0.662611806797853</v>
      </c>
      <c r="E8" s="40">
        <v>1364</v>
      </c>
      <c r="F8" s="40">
        <v>1350</v>
      </c>
      <c r="G8" s="63">
        <f t="shared" si="1"/>
        <v>0.989736070381232</v>
      </c>
      <c r="H8" s="64">
        <v>0.2567</v>
      </c>
      <c r="I8" s="65">
        <f t="shared" si="2"/>
        <v>0.0456211812627292</v>
      </c>
      <c r="J8" s="31">
        <f t="shared" si="3"/>
        <v>488</v>
      </c>
    </row>
    <row r="9" spans="1:15">
      <c r="A9" s="59" t="s">
        <v>23</v>
      </c>
      <c r="B9" s="35">
        <v>3106</v>
      </c>
      <c r="C9" s="35">
        <v>2036</v>
      </c>
      <c r="D9" s="60">
        <f t="shared" si="0"/>
        <v>0.655505473277527</v>
      </c>
      <c r="E9" s="35">
        <v>1479</v>
      </c>
      <c r="F9" s="35">
        <v>1449</v>
      </c>
      <c r="G9" s="60">
        <f t="shared" si="1"/>
        <v>0.979716024340771</v>
      </c>
      <c r="H9" s="61">
        <v>0.27</v>
      </c>
      <c r="I9" s="66">
        <f t="shared" si="2"/>
        <v>0.0518114530580445</v>
      </c>
      <c r="J9" s="31">
        <f t="shared" si="3"/>
        <v>557</v>
      </c>
    </row>
    <row r="10" spans="1:15">
      <c r="A10" s="62" t="s">
        <v>24</v>
      </c>
      <c r="B10" s="40">
        <v>3106</v>
      </c>
      <c r="C10" s="40">
        <v>2074</v>
      </c>
      <c r="D10" s="63">
        <f t="shared" si="0"/>
        <v>0.667739858338699</v>
      </c>
      <c r="E10" s="40">
        <v>1546</v>
      </c>
      <c r="F10" s="40">
        <v>1499</v>
      </c>
      <c r="G10" s="63">
        <f t="shared" si="1"/>
        <v>0.969598965071151</v>
      </c>
      <c r="H10" s="64">
        <v>0.2754</v>
      </c>
      <c r="I10" s="65">
        <f t="shared" si="2"/>
        <v>0.0199999999999998</v>
      </c>
      <c r="J10" s="31">
        <f t="shared" si="3"/>
        <v>528</v>
      </c>
    </row>
    <row r="11" spans="1:15">
      <c r="A11" s="59" t="s">
        <v>25</v>
      </c>
      <c r="B11" s="35">
        <v>3199</v>
      </c>
      <c r="C11" s="35">
        <v>2074</v>
      </c>
      <c r="D11" s="60">
        <f t="shared" si="0"/>
        <v>0.648327602375742</v>
      </c>
      <c r="E11" s="35">
        <v>1489</v>
      </c>
      <c r="F11" s="35">
        <v>1489</v>
      </c>
      <c r="G11" s="60">
        <f t="shared" si="1"/>
        <v>1</v>
      </c>
      <c r="H11" s="61">
        <v>0.2681</v>
      </c>
      <c r="I11" s="66">
        <f t="shared" si="2"/>
        <v>-0.0265068990559185</v>
      </c>
      <c r="J11" s="31">
        <f t="shared" si="3"/>
        <v>585</v>
      </c>
    </row>
    <row r="12" spans="1:15">
      <c r="A12" s="62" t="s">
        <v>26</v>
      </c>
      <c r="B12" s="40">
        <v>3201</v>
      </c>
      <c r="C12" s="40">
        <v>2060</v>
      </c>
      <c r="D12" s="63">
        <f t="shared" si="0"/>
        <v>0.643548890971571</v>
      </c>
      <c r="E12" s="40">
        <v>1517</v>
      </c>
      <c r="F12" s="40">
        <v>1517</v>
      </c>
      <c r="G12" s="63">
        <f t="shared" si="1"/>
        <v>1</v>
      </c>
      <c r="H12" s="64">
        <v>0.2653</v>
      </c>
      <c r="I12" s="65">
        <f t="shared" si="2"/>
        <v>-0.0104438642297651</v>
      </c>
      <c r="J12" s="31">
        <f t="shared" si="3"/>
        <v>543</v>
      </c>
    </row>
    <row r="13" spans="1:15">
      <c r="A13" s="59" t="s">
        <v>27</v>
      </c>
      <c r="B13" s="35">
        <v>3169</v>
      </c>
      <c r="C13" s="35">
        <v>2012</v>
      </c>
      <c r="D13" s="60">
        <f t="shared" si="0"/>
        <v>0.63490059955822</v>
      </c>
      <c r="E13" s="35">
        <v>1334</v>
      </c>
      <c r="F13" s="35">
        <v>1273</v>
      </c>
      <c r="G13" s="60">
        <f t="shared" si="1"/>
        <v>0.954272863568216</v>
      </c>
      <c r="H13" s="61">
        <v>0.2177</v>
      </c>
      <c r="I13" s="66">
        <f t="shared" si="2"/>
        <v>-0.179419525065963</v>
      </c>
      <c r="J13" s="31">
        <f t="shared" si="3"/>
        <v>678</v>
      </c>
      <c r="K13" s="31">
        <v>108.71</v>
      </c>
      <c r="L13" s="31">
        <v>0</v>
      </c>
      <c r="M13" s="67">
        <v>10871</v>
      </c>
    </row>
    <row r="14" spans="1:15">
      <c r="A14" s="68" t="s">
        <v>28</v>
      </c>
      <c r="B14" s="69">
        <v>2499</v>
      </c>
      <c r="C14" s="69">
        <v>1491</v>
      </c>
      <c r="D14" s="70">
        <f t="shared" si="0"/>
        <v>0.596638655462185</v>
      </c>
      <c r="E14" s="69">
        <v>577</v>
      </c>
      <c r="F14" s="69">
        <v>520</v>
      </c>
      <c r="G14" s="70">
        <f t="shared" si="1"/>
        <v>0.901213171577123</v>
      </c>
      <c r="H14" s="71">
        <v>0.0866</v>
      </c>
      <c r="I14" s="72">
        <f t="shared" si="2"/>
        <v>-0.602204869085898</v>
      </c>
      <c r="J14" s="73">
        <f t="shared" si="3"/>
        <v>914</v>
      </c>
      <c r="K14" s="73">
        <v>88.76</v>
      </c>
      <c r="L14" s="73">
        <v>0</v>
      </c>
      <c r="M14" s="67">
        <v>8876</v>
      </c>
      <c r="N14" s="74">
        <f>M13-M14</f>
        <v>1995</v>
      </c>
      <c r="O14" s="31">
        <f>N14+F14</f>
        <v>2515</v>
      </c>
    </row>
    <row r="15" spans="1:15">
      <c r="A15" s="59" t="s">
        <v>29</v>
      </c>
      <c r="B15" s="35">
        <v>2560</v>
      </c>
      <c r="C15" s="35">
        <v>1540</v>
      </c>
      <c r="D15" s="60">
        <f t="shared" si="0"/>
        <v>0.6015625</v>
      </c>
      <c r="E15" s="35">
        <v>633</v>
      </c>
      <c r="F15" s="35">
        <v>570</v>
      </c>
      <c r="G15" s="60">
        <f t="shared" si="1"/>
        <v>0.900473933649289</v>
      </c>
      <c r="H15" s="61">
        <v>0.0935</v>
      </c>
      <c r="I15" s="66">
        <f t="shared" si="2"/>
        <v>0.079676674364896</v>
      </c>
      <c r="J15" s="31">
        <f t="shared" si="3"/>
        <v>907</v>
      </c>
      <c r="K15" s="31">
        <v>84.71</v>
      </c>
      <c r="L15" s="31">
        <v>0</v>
      </c>
      <c r="M15" s="67">
        <v>8471</v>
      </c>
      <c r="N15" s="74">
        <f>M14-M15</f>
        <v>405</v>
      </c>
      <c r="O15" s="31">
        <f>N15+F15</f>
        <v>975</v>
      </c>
    </row>
    <row r="16" spans="1:15">
      <c r="A16" s="62" t="s">
        <v>30</v>
      </c>
      <c r="B16" s="40">
        <v>2202</v>
      </c>
      <c r="C16" s="40">
        <v>1300</v>
      </c>
      <c r="D16" s="63">
        <f t="shared" si="0"/>
        <v>0.590372388737511</v>
      </c>
      <c r="E16" s="40">
        <v>575</v>
      </c>
      <c r="F16" s="40">
        <v>517</v>
      </c>
      <c r="G16" s="63">
        <f t="shared" si="1"/>
        <v>0.899130434782609</v>
      </c>
      <c r="H16" s="64">
        <v>0.0834</v>
      </c>
      <c r="I16" s="65">
        <f t="shared" si="2"/>
        <v>-0.108021390374332</v>
      </c>
      <c r="J16" s="31">
        <f t="shared" si="3"/>
        <v>725</v>
      </c>
      <c r="K16" s="31">
        <v>78.4</v>
      </c>
      <c r="L16" s="31">
        <v>0</v>
      </c>
      <c r="M16" s="67">
        <v>7840</v>
      </c>
      <c r="N16" s="74">
        <f>M15-M16</f>
        <v>631</v>
      </c>
      <c r="O16" s="31">
        <f>N16+F16</f>
        <v>1148</v>
      </c>
    </row>
    <row r="17" spans="1:15">
      <c r="A17" s="59" t="s">
        <v>31</v>
      </c>
      <c r="B17" s="35">
        <v>2345</v>
      </c>
      <c r="C17" s="35">
        <v>1368</v>
      </c>
      <c r="D17" s="60">
        <f t="shared" si="0"/>
        <v>0.583368869936034</v>
      </c>
      <c r="E17" s="35">
        <v>227</v>
      </c>
      <c r="F17" s="35">
        <v>204</v>
      </c>
      <c r="G17" s="60">
        <f t="shared" si="1"/>
        <v>0.898678414096916</v>
      </c>
      <c r="H17" s="61">
        <v>0.0361</v>
      </c>
      <c r="I17" s="66">
        <f t="shared" si="2"/>
        <v>-0.567146282973621</v>
      </c>
      <c r="J17" s="31">
        <f t="shared" si="3"/>
        <v>1141</v>
      </c>
      <c r="K17" s="31">
        <v>66.01</v>
      </c>
      <c r="L17" s="31">
        <v>0</v>
      </c>
      <c r="M17" s="67">
        <v>6601</v>
      </c>
      <c r="N17" s="74">
        <f>M16-M17</f>
        <v>1239</v>
      </c>
      <c r="O17" s="31">
        <f>N17+F17</f>
        <v>1443</v>
      </c>
    </row>
    <row r="18" spans="1:15">
      <c r="A18" s="62" t="s">
        <v>32</v>
      </c>
      <c r="B18" s="40">
        <v>2337</v>
      </c>
      <c r="C18" s="40">
        <v>1303</v>
      </c>
      <c r="D18" s="63">
        <f t="shared" si="0"/>
        <v>0.557552417629439</v>
      </c>
      <c r="E18" s="40">
        <v>26</v>
      </c>
      <c r="F18" s="40">
        <v>26</v>
      </c>
      <c r="G18" s="63">
        <f t="shared" si="1"/>
        <v>1</v>
      </c>
      <c r="H18" s="64">
        <v>0.0041</v>
      </c>
      <c r="I18" s="65">
        <f t="shared" si="2"/>
        <v>-0.886426592797784</v>
      </c>
      <c r="J18" s="31">
        <f t="shared" si="3"/>
        <v>1277</v>
      </c>
      <c r="K18" s="31">
        <v>38.5</v>
      </c>
      <c r="L18" s="31">
        <v>19.3</v>
      </c>
      <c r="M18" s="67">
        <v>5777</v>
      </c>
      <c r="N18" s="74">
        <f>M17-M18</f>
        <v>824</v>
      </c>
      <c r="O18" s="31">
        <f>N18+F18</f>
        <v>850</v>
      </c>
    </row>
    <row r="19" spans="1:15">
      <c r="A19" s="59" t="s">
        <v>33</v>
      </c>
      <c r="B19" s="35">
        <v>2209</v>
      </c>
      <c r="C19" s="35">
        <v>1146</v>
      </c>
      <c r="D19" s="60">
        <f t="shared" si="0"/>
        <v>0.518786781349027</v>
      </c>
      <c r="E19" s="35">
        <v>28</v>
      </c>
      <c r="F19" s="35">
        <v>28</v>
      </c>
      <c r="G19" s="60">
        <f t="shared" si="1"/>
        <v>1</v>
      </c>
      <c r="H19" s="61">
        <v>0.0043</v>
      </c>
      <c r="I19" s="66">
        <f t="shared" si="2"/>
        <v>0.0487804878048779</v>
      </c>
      <c r="J19" s="31">
        <f t="shared" si="3"/>
        <v>1118</v>
      </c>
      <c r="K19" s="31">
        <v>24.2</v>
      </c>
      <c r="L19" s="31">
        <v>26.2</v>
      </c>
      <c r="M19" s="67">
        <v>5038</v>
      </c>
      <c r="N19" s="74">
        <f>M18-M19</f>
        <v>739</v>
      </c>
      <c r="O19" s="31">
        <f>N19+F19</f>
        <v>767</v>
      </c>
    </row>
    <row r="21" spans="1:15">
      <c r="A21" s="75" t="s">
        <v>34</v>
      </c>
    </row>
    <row r="22" spans="1:15">
      <c r="A22" s="75" t="s">
        <v>35</v>
      </c>
    </row>
    <row r="23" spans="1:15">
      <c r="A23" s="75" t="s">
        <v>36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E26" sqref="E26"/>
    </sheetView>
  </sheetViews>
  <sheetFormatPr defaultColWidth="8.6796875" defaultRowHeight="16.8"/>
  <cols>
    <col min="1" max="1" width="8" style="30" customWidth="1"/>
    <col min="2" max="2" width="16" style="31" customWidth="1"/>
    <col min="3" max="3" width="18" style="30" customWidth="1"/>
    <col min="4" max="4" width="14" style="30" customWidth="1"/>
    <col min="5" max="6" width="10" style="30" customWidth="1"/>
    <col min="7" max="8" width="14" style="30" customWidth="1"/>
    <col min="9" max="9" width="16" style="30" customWidth="1"/>
  </cols>
  <sheetData>
    <row r="1" ht="21" spans="1:9">
      <c r="A1" s="32" t="s">
        <v>37</v>
      </c>
    </row>
    <row r="2" spans="1:9">
      <c r="A2" s="33" t="s">
        <v>38</v>
      </c>
    </row>
    <row r="4" spans="1:9">
      <c r="A4" s="5" t="s">
        <v>39</v>
      </c>
      <c r="B4" s="5" t="s">
        <v>40</v>
      </c>
      <c r="C4" s="5" t="s">
        <v>41</v>
      </c>
      <c r="D4" s="5" t="s">
        <v>42</v>
      </c>
      <c r="E4" s="5" t="s">
        <v>16</v>
      </c>
      <c r="F4" s="5" t="s">
        <v>43</v>
      </c>
      <c r="G4" s="5" t="s">
        <v>44</v>
      </c>
      <c r="H4" s="5" t="s">
        <v>45</v>
      </c>
      <c r="I4" s="5" t="s">
        <v>46</v>
      </c>
    </row>
    <row r="5" spans="1:9">
      <c r="A5" s="34" t="s">
        <v>47</v>
      </c>
      <c r="B5" s="35">
        <v>33995</v>
      </c>
      <c r="C5" s="36">
        <v>25972</v>
      </c>
      <c r="D5" s="37">
        <v>5.1845</v>
      </c>
      <c r="E5" s="38"/>
      <c r="F5" s="38"/>
      <c r="G5" s="38"/>
      <c r="H5" s="38"/>
      <c r="I5" s="38"/>
    </row>
    <row r="6" spans="1:9">
      <c r="A6" s="39" t="s">
        <v>20</v>
      </c>
      <c r="B6" s="40">
        <v>39388</v>
      </c>
      <c r="C6" s="41">
        <v>27914</v>
      </c>
      <c r="D6" s="42">
        <v>5.4988</v>
      </c>
      <c r="E6" s="43"/>
      <c r="F6" s="43"/>
      <c r="G6" s="43"/>
      <c r="H6" s="43"/>
      <c r="I6" s="43"/>
    </row>
    <row r="7" spans="1:9">
      <c r="A7" s="34" t="s">
        <v>21</v>
      </c>
      <c r="B7" s="35">
        <v>40727</v>
      </c>
      <c r="C7" s="36">
        <v>27963</v>
      </c>
      <c r="D7" s="37">
        <v>5.4144</v>
      </c>
      <c r="E7" s="36">
        <v>3217</v>
      </c>
      <c r="F7" s="44">
        <v>0.079</v>
      </c>
      <c r="G7" s="38"/>
      <c r="H7" s="38"/>
      <c r="I7" s="38"/>
    </row>
    <row r="8" spans="1:9">
      <c r="A8" s="39" t="s">
        <v>22</v>
      </c>
      <c r="B8" s="40">
        <v>42228</v>
      </c>
      <c r="C8" s="41">
        <v>28564</v>
      </c>
      <c r="D8" s="42">
        <v>5.3919</v>
      </c>
      <c r="E8" s="41">
        <v>3867</v>
      </c>
      <c r="F8" s="45">
        <v>0.092</v>
      </c>
      <c r="G8" s="43"/>
      <c r="H8" s="43"/>
      <c r="I8" s="43"/>
    </row>
    <row r="9" spans="1:9">
      <c r="A9" s="34" t="s">
        <v>23</v>
      </c>
      <c r="B9" s="46"/>
      <c r="C9" s="36">
        <v>27557</v>
      </c>
      <c r="D9" s="37">
        <v>5.1231</v>
      </c>
      <c r="E9" s="36">
        <v>9435</v>
      </c>
      <c r="F9" s="38"/>
      <c r="G9" s="47">
        <v>3.33</v>
      </c>
      <c r="H9" s="47"/>
      <c r="I9" s="44">
        <v>-0.35</v>
      </c>
    </row>
    <row r="10" spans="1:9">
      <c r="A10" s="39" t="s">
        <v>24</v>
      </c>
      <c r="B10" s="48"/>
      <c r="C10" s="41">
        <v>26439</v>
      </c>
      <c r="D10" s="42">
        <v>4.8403</v>
      </c>
      <c r="E10" s="41">
        <v>10816</v>
      </c>
      <c r="F10" s="43"/>
      <c r="G10" s="49">
        <v>3.14</v>
      </c>
      <c r="H10" s="49"/>
      <c r="I10" s="45">
        <v>-0.351</v>
      </c>
    </row>
    <row r="11" spans="1:9">
      <c r="A11" s="34" t="s">
        <v>25</v>
      </c>
      <c r="B11" s="46"/>
      <c r="C11" s="36">
        <v>26783</v>
      </c>
      <c r="D11" s="38"/>
      <c r="E11" s="36">
        <v>10969</v>
      </c>
      <c r="F11" s="44">
        <v>0.23</v>
      </c>
      <c r="G11" s="38"/>
      <c r="H11" s="38"/>
      <c r="I11" s="38"/>
    </row>
    <row r="12" spans="1:9">
      <c r="A12" s="39" t="s">
        <v>26</v>
      </c>
      <c r="B12" s="48"/>
      <c r="C12" s="41">
        <v>26373</v>
      </c>
      <c r="D12" s="43"/>
      <c r="E12" s="41">
        <v>9921</v>
      </c>
      <c r="F12" s="45">
        <v>0.215</v>
      </c>
      <c r="G12" s="43"/>
      <c r="H12" s="43"/>
      <c r="I12" s="43"/>
    </row>
    <row r="13" spans="1:9">
      <c r="A13" s="34" t="s">
        <v>27</v>
      </c>
      <c r="B13" s="46"/>
      <c r="C13" s="36">
        <v>25983</v>
      </c>
      <c r="D13" s="37">
        <v>4.4187</v>
      </c>
      <c r="E13" s="50">
        <v>10871</v>
      </c>
      <c r="F13" s="44">
        <v>0.234</v>
      </c>
      <c r="G13" s="47">
        <v>3.28</v>
      </c>
      <c r="H13" s="47"/>
      <c r="I13" s="44">
        <v>-0.258</v>
      </c>
    </row>
    <row r="14" spans="1:9">
      <c r="A14" s="39" t="s">
        <v>28</v>
      </c>
      <c r="B14" s="48"/>
      <c r="C14" s="41">
        <v>25052</v>
      </c>
      <c r="D14" s="42">
        <v>4.1651</v>
      </c>
      <c r="E14" s="41">
        <v>8876</v>
      </c>
      <c r="F14" s="45">
        <v>0.208</v>
      </c>
      <c r="G14" s="49">
        <v>1.81</v>
      </c>
      <c r="H14" s="49"/>
      <c r="I14" s="45">
        <v>-0.565</v>
      </c>
    </row>
    <row r="15" spans="1:9">
      <c r="A15" s="34" t="s">
        <v>29</v>
      </c>
      <c r="B15" s="46"/>
      <c r="C15" s="38"/>
      <c r="D15" s="38"/>
      <c r="E15" s="38"/>
      <c r="F15" s="38"/>
      <c r="G15" s="38"/>
      <c r="H15" s="38"/>
      <c r="I15" s="38"/>
    </row>
    <row r="16" spans="1:9">
      <c r="A16" s="39" t="s">
        <v>30</v>
      </c>
      <c r="B16" s="48"/>
      <c r="C16" s="43"/>
      <c r="D16" s="43"/>
      <c r="E16" s="43"/>
      <c r="F16" s="43"/>
      <c r="G16" s="43"/>
      <c r="H16" s="43"/>
      <c r="I16" s="43"/>
    </row>
    <row r="17" spans="1:9">
      <c r="A17" s="34" t="s">
        <v>31</v>
      </c>
      <c r="B17" s="46"/>
      <c r="C17" s="38"/>
      <c r="D17" s="38"/>
      <c r="E17" s="38"/>
      <c r="F17" s="38"/>
      <c r="G17" s="38"/>
      <c r="H17" s="38"/>
      <c r="I17" s="38"/>
    </row>
    <row r="18" spans="1:9">
      <c r="A18" s="39" t="s">
        <v>48</v>
      </c>
      <c r="B18" s="48"/>
      <c r="C18" s="43"/>
      <c r="D18" s="43"/>
      <c r="E18" s="41">
        <v>5777</v>
      </c>
      <c r="F18" s="45">
        <v>0.168</v>
      </c>
      <c r="G18" s="43"/>
      <c r="H18" s="41" t="s">
        <v>49</v>
      </c>
      <c r="I18" s="43"/>
    </row>
    <row r="19" spans="1:9">
      <c r="A19" s="34" t="s">
        <v>33</v>
      </c>
      <c r="B19" s="46"/>
      <c r="C19" s="36">
        <v>20703</v>
      </c>
      <c r="D19" s="37">
        <v>3.1737</v>
      </c>
      <c r="E19" s="51">
        <v>5038</v>
      </c>
      <c r="F19" s="44">
        <v>0.154</v>
      </c>
      <c r="G19" s="47">
        <v>0.44</v>
      </c>
      <c r="H19" s="47" t="s">
        <v>50</v>
      </c>
      <c r="I19" s="44">
        <v>-0.861</v>
      </c>
    </row>
    <row r="21" spans="1:9">
      <c r="A21" s="33" t="s">
        <v>51</v>
      </c>
    </row>
    <row r="22" spans="1:9">
      <c r="A22" s="33" t="s">
        <v>52</v>
      </c>
    </row>
    <row r="23" spans="1:9">
      <c r="A23" s="33" t="s">
        <v>53</v>
      </c>
    </row>
    <row r="24" spans="1:9">
      <c r="A24" s="52" t="s">
        <v>54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opLeftCell="A19" workbookViewId="0">
      <selection activeCell="A28" sqref="A28:B46"/>
    </sheetView>
  </sheetViews>
  <sheetFormatPr defaultColWidth="8.6796875" defaultRowHeight="16.8" outlineLevelCol="3"/>
  <cols>
    <col min="1" max="1" width="16" customWidth="1"/>
    <col min="2" max="4" width="10" customWidth="1"/>
  </cols>
  <sheetData>
    <row r="1" ht="21" spans="1:4">
      <c r="A1" s="3" t="s">
        <v>55</v>
      </c>
    </row>
    <row r="2" spans="1:4">
      <c r="A2" s="4" t="s">
        <v>56</v>
      </c>
    </row>
    <row r="4" spans="1:4">
      <c r="A4" s="5" t="s">
        <v>57</v>
      </c>
      <c r="B4" s="20" t="s">
        <v>28</v>
      </c>
      <c r="C4" s="20" t="s">
        <v>31</v>
      </c>
      <c r="D4" s="20" t="s">
        <v>33</v>
      </c>
    </row>
    <row r="5" spans="1:4">
      <c r="A5" s="21" t="s">
        <v>58</v>
      </c>
      <c r="B5" s="17">
        <v>790</v>
      </c>
      <c r="C5" s="17">
        <v>779</v>
      </c>
      <c r="D5" s="17">
        <v>685</v>
      </c>
    </row>
    <row r="6" spans="1:4">
      <c r="A6" s="21" t="s">
        <v>59</v>
      </c>
      <c r="B6" s="17">
        <v>667</v>
      </c>
      <c r="C6" s="17">
        <v>473</v>
      </c>
      <c r="D6" s="17">
        <v>274</v>
      </c>
    </row>
    <row r="7" spans="1:4">
      <c r="A7" s="21" t="s">
        <v>60</v>
      </c>
      <c r="B7" s="17">
        <v>-51</v>
      </c>
      <c r="C7" s="22" t="s">
        <v>61</v>
      </c>
      <c r="D7" s="17">
        <v>104</v>
      </c>
    </row>
    <row r="8" spans="1:4">
      <c r="A8" s="21" t="s">
        <v>62</v>
      </c>
      <c r="B8" s="17">
        <v>85</v>
      </c>
      <c r="C8" s="22" t="s">
        <v>61</v>
      </c>
      <c r="D8" s="17">
        <v>83</v>
      </c>
    </row>
    <row r="9" spans="1:4">
      <c r="A9" s="23" t="s">
        <v>63</v>
      </c>
      <c r="B9" s="24">
        <f>SUM(B5:B8)</f>
        <v>1491</v>
      </c>
      <c r="C9" s="25"/>
      <c r="D9" s="24">
        <f>SUM(D5:D8)</f>
        <v>1146</v>
      </c>
    </row>
    <row r="16" ht="20.4" spans="1:4">
      <c r="A16" s="3" t="s">
        <v>64</v>
      </c>
    </row>
    <row r="17" spans="1:4">
      <c r="A17" s="4" t="s">
        <v>65</v>
      </c>
    </row>
    <row r="19" ht="31" spans="1:4">
      <c r="A19" s="5" t="s">
        <v>39</v>
      </c>
      <c r="B19" s="5" t="s">
        <v>66</v>
      </c>
      <c r="C19" s="5" t="s">
        <v>67</v>
      </c>
      <c r="D19" s="5" t="s">
        <v>68</v>
      </c>
    </row>
    <row r="20" spans="1:4">
      <c r="A20" s="6" t="s">
        <v>25</v>
      </c>
      <c r="B20" s="7">
        <v>29551</v>
      </c>
      <c r="C20" s="7">
        <v>5690</v>
      </c>
      <c r="D20" s="7">
        <v>35241</v>
      </c>
    </row>
    <row r="21" spans="1:4">
      <c r="A21" s="6" t="s">
        <v>26</v>
      </c>
      <c r="B21" s="7">
        <v>29618</v>
      </c>
      <c r="C21" s="7">
        <v>5730</v>
      </c>
      <c r="D21" s="7">
        <v>35348</v>
      </c>
    </row>
    <row r="22" spans="1:4">
      <c r="A22" s="6" t="s">
        <v>27</v>
      </c>
      <c r="B22" s="7">
        <v>29442</v>
      </c>
      <c r="C22" s="7">
        <v>5610</v>
      </c>
      <c r="D22" s="7">
        <v>35052</v>
      </c>
    </row>
    <row r="23" spans="1:4">
      <c r="A23" s="6" t="s">
        <v>28</v>
      </c>
      <c r="B23" s="7">
        <v>27491</v>
      </c>
      <c r="C23" s="7">
        <v>4860</v>
      </c>
      <c r="D23" s="7">
        <v>32351</v>
      </c>
    </row>
    <row r="25" spans="1:4">
      <c r="A25" s="4" t="s">
        <v>69</v>
      </c>
    </row>
    <row r="28" ht="20.4" spans="1:4">
      <c r="A28" s="3" t="s">
        <v>70</v>
      </c>
    </row>
    <row r="30" spans="1:4">
      <c r="A30" s="26" t="s">
        <v>71</v>
      </c>
      <c r="B30" s="27" t="s">
        <v>72</v>
      </c>
    </row>
    <row r="31" spans="1:4">
      <c r="A31" s="26" t="s">
        <v>73</v>
      </c>
      <c r="B31" s="28" t="s">
        <v>74</v>
      </c>
    </row>
    <row r="32" spans="1:4">
      <c r="A32" s="29" t="s">
        <v>75</v>
      </c>
      <c r="B32" s="28" t="s">
        <v>76</v>
      </c>
    </row>
    <row r="33" spans="1:2">
      <c r="A33" s="29" t="s">
        <v>77</v>
      </c>
      <c r="B33" s="28" t="s">
        <v>78</v>
      </c>
    </row>
    <row r="34" spans="1:2">
      <c r="A34" s="26" t="s">
        <v>79</v>
      </c>
      <c r="B34" s="28" t="s">
        <v>80</v>
      </c>
    </row>
    <row r="35" spans="1:2">
      <c r="A35" s="26" t="s">
        <v>81</v>
      </c>
      <c r="B35" s="28" t="s">
        <v>82</v>
      </c>
    </row>
    <row r="36" spans="1:2">
      <c r="A36" s="26" t="s">
        <v>83</v>
      </c>
      <c r="B36" s="28" t="s">
        <v>84</v>
      </c>
    </row>
    <row r="37" spans="1:2">
      <c r="A37" s="27"/>
      <c r="B37" s="27"/>
    </row>
    <row r="38" spans="1:2">
      <c r="A38" s="26" t="s">
        <v>85</v>
      </c>
      <c r="B38" s="28" t="s">
        <v>86</v>
      </c>
    </row>
    <row r="39" spans="1:2">
      <c r="A39" s="27" t="s">
        <v>87</v>
      </c>
      <c r="B39" s="27" t="s">
        <v>88</v>
      </c>
    </row>
    <row r="40" spans="1:2">
      <c r="A40" s="27" t="s">
        <v>89</v>
      </c>
      <c r="B40" s="27" t="s">
        <v>90</v>
      </c>
    </row>
    <row r="41" spans="1:2">
      <c r="A41" s="27" t="s">
        <v>91</v>
      </c>
      <c r="B41" s="27" t="s">
        <v>92</v>
      </c>
    </row>
    <row r="42" spans="1:2">
      <c r="A42" s="27" t="s">
        <v>93</v>
      </c>
      <c r="B42" s="27" t="s">
        <v>94</v>
      </c>
    </row>
    <row r="43" spans="1:2">
      <c r="A43" s="27" t="s">
        <v>95</v>
      </c>
      <c r="B43" s="27" t="s">
        <v>96</v>
      </c>
    </row>
    <row r="44" spans="1:2">
      <c r="A44" s="27"/>
      <c r="B44" s="27"/>
    </row>
    <row r="45" spans="1:2">
      <c r="A45" s="26" t="s">
        <v>97</v>
      </c>
      <c r="B45" s="28" t="s">
        <v>98</v>
      </c>
    </row>
    <row r="46" spans="1:2">
      <c r="A46" s="26" t="s">
        <v>99</v>
      </c>
      <c r="B46" s="28" t="s">
        <v>100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K21" sqref="K21"/>
    </sheetView>
  </sheetViews>
  <sheetFormatPr defaultColWidth="8.6796875" defaultRowHeight="16.8" outlineLevelCol="7"/>
  <cols>
    <col min="1" max="1" width="10" customWidth="1"/>
    <col min="2" max="2" width="16" customWidth="1"/>
    <col min="3" max="3" width="12" customWidth="1"/>
    <col min="4" max="4" width="18" customWidth="1"/>
    <col min="5" max="5" width="22" customWidth="1"/>
    <col min="6" max="6" width="14" customWidth="1"/>
    <col min="7" max="7" width="16" customWidth="1"/>
    <col min="8" max="8" width="12.6875"/>
  </cols>
  <sheetData>
    <row r="1" ht="21" spans="1:8">
      <c r="A1" s="3" t="s">
        <v>101</v>
      </c>
    </row>
    <row r="2" spans="1:8">
      <c r="A2" s="4" t="s">
        <v>102</v>
      </c>
    </row>
    <row r="4" ht="31" spans="1:8">
      <c r="A4" s="5" t="s">
        <v>4</v>
      </c>
      <c r="B4" s="5" t="s">
        <v>6</v>
      </c>
      <c r="C4" s="5" t="s">
        <v>103</v>
      </c>
      <c r="D4" s="5" t="s">
        <v>104</v>
      </c>
      <c r="E4" s="5" t="s">
        <v>105</v>
      </c>
      <c r="F4" s="5" t="s">
        <v>8</v>
      </c>
      <c r="G4" s="5" t="s">
        <v>106</v>
      </c>
      <c r="H4" s="5" t="s">
        <v>107</v>
      </c>
    </row>
    <row r="5" spans="1:8">
      <c r="A5" s="6" t="s">
        <v>47</v>
      </c>
      <c r="B5" s="7">
        <v>1041</v>
      </c>
      <c r="C5" s="8"/>
      <c r="D5" s="8"/>
      <c r="E5" s="8"/>
      <c r="F5" s="7">
        <v>735</v>
      </c>
      <c r="G5" s="9">
        <f t="shared" ref="G5:G19" si="0">B5-F5</f>
        <v>306</v>
      </c>
      <c r="H5" s="10">
        <f>F5/B5</f>
        <v>0.706051873198847</v>
      </c>
    </row>
    <row r="6" spans="1:8">
      <c r="A6" s="11" t="s">
        <v>20</v>
      </c>
      <c r="B6" s="12">
        <v>1671</v>
      </c>
      <c r="C6" s="13"/>
      <c r="D6" s="13"/>
      <c r="E6" s="13"/>
      <c r="F6" s="12">
        <v>1208</v>
      </c>
      <c r="G6" s="14">
        <f t="shared" si="0"/>
        <v>463</v>
      </c>
      <c r="H6" s="10">
        <f t="shared" ref="H6:H19" si="1">F6/B6</f>
        <v>0.722920406941951</v>
      </c>
    </row>
    <row r="7" spans="1:8">
      <c r="A7" s="6" t="s">
        <v>21</v>
      </c>
      <c r="B7" s="7">
        <v>1764</v>
      </c>
      <c r="C7" s="8"/>
      <c r="D7" s="8"/>
      <c r="E7" s="8"/>
      <c r="F7" s="7">
        <v>1262</v>
      </c>
      <c r="G7" s="9">
        <f t="shared" si="0"/>
        <v>502</v>
      </c>
      <c r="H7" s="10">
        <f t="shared" si="1"/>
        <v>0.715419501133787</v>
      </c>
    </row>
    <row r="8" spans="1:8">
      <c r="A8" s="11" t="s">
        <v>22</v>
      </c>
      <c r="B8" s="12">
        <v>1852</v>
      </c>
      <c r="C8" s="13"/>
      <c r="D8" s="13"/>
      <c r="E8" s="13"/>
      <c r="F8" s="12">
        <v>1364</v>
      </c>
      <c r="G8" s="14">
        <f t="shared" si="0"/>
        <v>488</v>
      </c>
      <c r="H8" s="10">
        <f t="shared" si="1"/>
        <v>0.736501079913607</v>
      </c>
    </row>
    <row r="9" spans="1:8">
      <c r="A9" s="6" t="s">
        <v>23</v>
      </c>
      <c r="B9" s="7">
        <v>2036</v>
      </c>
      <c r="C9" s="8"/>
      <c r="D9" s="8"/>
      <c r="E9" s="8"/>
      <c r="F9" s="7">
        <v>1479</v>
      </c>
      <c r="G9" s="9">
        <f t="shared" si="0"/>
        <v>557</v>
      </c>
      <c r="H9" s="10">
        <f t="shared" si="1"/>
        <v>0.726424361493124</v>
      </c>
    </row>
    <row r="10" spans="1:8">
      <c r="A10" s="11" t="s">
        <v>24</v>
      </c>
      <c r="B10" s="12">
        <v>2074</v>
      </c>
      <c r="C10" s="13"/>
      <c r="D10" s="13"/>
      <c r="E10" s="13"/>
      <c r="F10" s="12">
        <v>1546</v>
      </c>
      <c r="G10" s="14">
        <f t="shared" si="0"/>
        <v>528</v>
      </c>
      <c r="H10" s="10">
        <f t="shared" si="1"/>
        <v>0.745419479267117</v>
      </c>
    </row>
    <row r="11" spans="1:8">
      <c r="A11" s="6" t="s">
        <v>25</v>
      </c>
      <c r="B11" s="7">
        <v>2074</v>
      </c>
      <c r="C11" s="8"/>
      <c r="D11" s="8"/>
      <c r="E11" s="8"/>
      <c r="F11" s="7">
        <v>1489</v>
      </c>
      <c r="G11" s="9">
        <f t="shared" si="0"/>
        <v>585</v>
      </c>
      <c r="H11" s="10">
        <f t="shared" si="1"/>
        <v>0.717936354869817</v>
      </c>
    </row>
    <row r="12" spans="1:8">
      <c r="A12" s="11" t="s">
        <v>26</v>
      </c>
      <c r="B12" s="12">
        <v>2060</v>
      </c>
      <c r="C12" s="13"/>
      <c r="D12" s="15">
        <v>46</v>
      </c>
      <c r="E12" s="13"/>
      <c r="F12" s="12">
        <v>1517</v>
      </c>
      <c r="G12" s="14">
        <f t="shared" si="0"/>
        <v>543</v>
      </c>
      <c r="H12" s="10">
        <f t="shared" si="1"/>
        <v>0.736407766990291</v>
      </c>
    </row>
    <row r="13" spans="1:8">
      <c r="A13" s="6" t="s">
        <v>27</v>
      </c>
      <c r="B13" s="7">
        <v>2012</v>
      </c>
      <c r="C13" s="8"/>
      <c r="D13" s="8"/>
      <c r="E13" s="8"/>
      <c r="F13" s="7">
        <v>1334</v>
      </c>
      <c r="G13" s="9">
        <f t="shared" si="0"/>
        <v>678</v>
      </c>
      <c r="H13" s="10">
        <f t="shared" si="1"/>
        <v>0.663021868787276</v>
      </c>
    </row>
    <row r="14" spans="1:8">
      <c r="A14" s="11" t="s">
        <v>28</v>
      </c>
      <c r="B14" s="12">
        <v>1491</v>
      </c>
      <c r="C14" s="13"/>
      <c r="D14" s="15">
        <v>-103</v>
      </c>
      <c r="E14" s="13"/>
      <c r="F14" s="12">
        <v>577</v>
      </c>
      <c r="G14" s="14">
        <f t="shared" si="0"/>
        <v>914</v>
      </c>
      <c r="H14" s="16">
        <f t="shared" si="1"/>
        <v>0.386988598256204</v>
      </c>
    </row>
    <row r="15" spans="1:8">
      <c r="A15" s="6" t="s">
        <v>29</v>
      </c>
      <c r="B15" s="7">
        <v>1540</v>
      </c>
      <c r="C15" s="8"/>
      <c r="D15" s="8"/>
      <c r="E15" s="8"/>
      <c r="F15" s="7">
        <v>633</v>
      </c>
      <c r="G15" s="9">
        <f t="shared" si="0"/>
        <v>907</v>
      </c>
      <c r="H15" s="16">
        <f t="shared" si="1"/>
        <v>0.411038961038961</v>
      </c>
    </row>
    <row r="16" spans="1:8">
      <c r="A16" s="11" t="s">
        <v>30</v>
      </c>
      <c r="B16" s="12">
        <v>1300</v>
      </c>
      <c r="C16" s="12">
        <v>206</v>
      </c>
      <c r="D16" s="13"/>
      <c r="E16" s="13"/>
      <c r="F16" s="12">
        <v>575</v>
      </c>
      <c r="G16" s="14">
        <f t="shared" si="0"/>
        <v>725</v>
      </c>
      <c r="H16" s="16">
        <f t="shared" si="1"/>
        <v>0.442307692307692</v>
      </c>
    </row>
    <row r="17" spans="1:8">
      <c r="A17" s="6" t="s">
        <v>31</v>
      </c>
      <c r="B17" s="7">
        <v>1368</v>
      </c>
      <c r="C17" s="7">
        <v>399</v>
      </c>
      <c r="D17" s="17">
        <v>-190</v>
      </c>
      <c r="E17" s="18">
        <f>F17-B17+C17-D17</f>
        <v>-552</v>
      </c>
      <c r="F17" s="7">
        <v>227</v>
      </c>
      <c r="G17" s="9">
        <f t="shared" si="0"/>
        <v>1141</v>
      </c>
      <c r="H17" s="16">
        <f t="shared" si="1"/>
        <v>0.16593567251462</v>
      </c>
    </row>
    <row r="18" spans="1:8">
      <c r="A18" s="11" t="s">
        <v>48</v>
      </c>
      <c r="B18" s="12">
        <v>1303</v>
      </c>
      <c r="C18" s="12">
        <v>340</v>
      </c>
      <c r="D18" s="15">
        <v>-368</v>
      </c>
      <c r="E18" s="19">
        <f>F18-B18+C18-D18</f>
        <v>-569</v>
      </c>
      <c r="F18" s="12">
        <v>26</v>
      </c>
      <c r="G18" s="14">
        <f t="shared" si="0"/>
        <v>1277</v>
      </c>
      <c r="H18" s="16">
        <f t="shared" si="1"/>
        <v>0.0199539524174981</v>
      </c>
    </row>
    <row r="19" spans="1:8">
      <c r="A19" s="6" t="s">
        <v>33</v>
      </c>
      <c r="B19" s="7">
        <v>1146</v>
      </c>
      <c r="C19" s="7">
        <v>240</v>
      </c>
      <c r="D19" s="17">
        <v>-156</v>
      </c>
      <c r="E19" s="18">
        <f>F19-B19+C19-D19</f>
        <v>-722</v>
      </c>
      <c r="F19" s="7">
        <v>28</v>
      </c>
      <c r="G19" s="9">
        <f t="shared" si="0"/>
        <v>1118</v>
      </c>
      <c r="H19" s="16">
        <f t="shared" si="1"/>
        <v>0.0244328097731239</v>
      </c>
    </row>
    <row r="21" spans="1:8">
      <c r="A21" s="4" t="s">
        <v>108</v>
      </c>
    </row>
    <row r="22" spans="1:8">
      <c r="A22" s="4" t="s">
        <v>109</v>
      </c>
    </row>
    <row r="23" spans="1:8">
      <c r="A23" s="4" t="s">
        <v>110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9" sqref="A19:A27"/>
    </sheetView>
  </sheetViews>
  <sheetFormatPr defaultColWidth="9" defaultRowHeight="16.8"/>
  <sheetData>
    <row r="1" spans="1:1">
      <c r="A1" s="1" t="s">
        <v>111</v>
      </c>
    </row>
    <row r="2" spans="1:1">
      <c r="A2" s="2" t="s">
        <v>112</v>
      </c>
    </row>
    <row r="3" spans="1:1">
      <c r="A3" s="2" t="s">
        <v>113</v>
      </c>
    </row>
    <row r="4" spans="1:1">
      <c r="A4" s="2" t="s">
        <v>114</v>
      </c>
    </row>
    <row r="5" spans="1:1">
      <c r="A5" s="2" t="s">
        <v>115</v>
      </c>
    </row>
    <row r="6" spans="1:1">
      <c r="A6" s="1" t="s">
        <v>116</v>
      </c>
    </row>
    <row r="7" spans="1:1">
      <c r="A7" s="2" t="s">
        <v>117</v>
      </c>
    </row>
    <row r="8" spans="1:1">
      <c r="A8" s="2" t="s">
        <v>118</v>
      </c>
    </row>
    <row r="9" spans="1:1">
      <c r="A9" s="1" t="s">
        <v>119</v>
      </c>
    </row>
    <row r="10" spans="1:1">
      <c r="A10" s="2" t="s">
        <v>120</v>
      </c>
    </row>
    <row r="11" spans="1:1">
      <c r="A11" s="2" t="s">
        <v>121</v>
      </c>
    </row>
    <row r="12" spans="1:1">
      <c r="A12" s="1" t="s">
        <v>122</v>
      </c>
    </row>
    <row r="13" spans="1:1">
      <c r="A13" s="2" t="s">
        <v>123</v>
      </c>
    </row>
    <row r="14" spans="1:1">
      <c r="A14" s="2" t="s">
        <v>124</v>
      </c>
    </row>
    <row r="19" spans="1:1">
      <c r="A19" t="s">
        <v>125</v>
      </c>
    </row>
    <row r="21" spans="1:1">
      <c r="A21" t="s">
        <v>126</v>
      </c>
    </row>
    <row r="23" spans="1:1">
      <c r="A23" t="s">
        <v>127</v>
      </c>
    </row>
    <row r="25" spans="1:1">
      <c r="A25" t="s">
        <v>128</v>
      </c>
    </row>
    <row r="27" spans="1:1">
      <c r="A27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LibreOffice/26.2.2.2$Linux_AARCH64 LibreOffice_project/620$Build-2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损益与分派</vt:lpstr>
      <vt:lpstr>资产负债(年末)</vt:lpstr>
      <vt:lpstr>分业态NPI</vt:lpstr>
      <vt:lpstr>NPI到可分派桥接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DZQ</cp:lastModifiedBy>
  <cp:revision>0</cp:revision>
  <dcterms:created xsi:type="dcterms:W3CDTF">2026-06-11T19:38:00Z</dcterms:created>
  <dcterms:modified xsi:type="dcterms:W3CDTF">2026-06-11T23:01:05Z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C9281942E4FA636765A02A6A14953142_42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